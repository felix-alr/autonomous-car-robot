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c31e1f75d70dd27/Dokumente/Viktor/Uni/Module/Hauptseminar/HS Projekt/hsar1-2/"/>
    </mc:Choice>
  </mc:AlternateContent>
  <xr:revisionPtr revIDLastSave="11" documentId="8_{DEB8F74F-79D1-44B4-A6E6-07C1AB08969D}" xr6:coauthVersionLast="47" xr6:coauthVersionMax="47" xr10:uidLastSave="{8F8BEAE9-7342-4300-B46E-6794A101A60C}"/>
  <bookViews>
    <workbookView xWindow="-120" yWindow="-120" windowWidth="29040" windowHeight="15720" xr2:uid="{160B5B28-2411-4C44-ADB3-AEA1509A83E1}"/>
  </bookViews>
  <sheets>
    <sheet name="GANTT KW" sheetId="1" r:id="rId1"/>
  </sheets>
  <externalReferences>
    <externalReference r:id="rId2"/>
  </externalReferences>
  <definedNames>
    <definedName name="Anzeigewoche" localSheetId="0">'GANTT KW'!$C$4</definedName>
    <definedName name="Anzeigewoche">'[1]GANTT Tag'!$C$4</definedName>
    <definedName name="Startdatum" localSheetId="0">'GANTT KW'!$C$3</definedName>
    <definedName name="Startdatum">'[1]GANTT Tag'!$C$3</definedName>
    <definedName name="task_end" localSheetId="0">'GANTT KW'!$E1</definedName>
    <definedName name="task_progress" localSheetId="0">'GANTT KW'!$C1</definedName>
    <definedName name="task_start" localSheetId="0">'GANTT KW'!$D1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1" l="1"/>
  <c r="E29" i="1"/>
  <c r="D31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E30" i="1"/>
  <c r="D27" i="1"/>
  <c r="E27" i="1" s="1"/>
  <c r="D26" i="1"/>
  <c r="E31" i="1"/>
  <c r="G31" i="1" s="1"/>
  <c r="E32" i="1"/>
  <c r="D18" i="1"/>
  <c r="E18" i="1" s="1"/>
  <c r="D19" i="1" s="1"/>
  <c r="E19" i="1" s="1"/>
  <c r="G24" i="1"/>
  <c r="G25" i="1"/>
  <c r="E23" i="1"/>
  <c r="G23" i="1" s="1"/>
  <c r="D16" i="1"/>
  <c r="E16" i="1" s="1"/>
  <c r="D17" i="1" s="1"/>
  <c r="E17" i="1" s="1"/>
  <c r="H4" i="1"/>
  <c r="G5" i="1"/>
  <c r="G33" i="1"/>
  <c r="G34" i="1"/>
  <c r="G35" i="1"/>
  <c r="G36" i="1"/>
  <c r="G37" i="1"/>
  <c r="G38" i="1"/>
  <c r="G39" i="1"/>
  <c r="G40" i="1"/>
  <c r="G41" i="1"/>
  <c r="G42" i="1"/>
  <c r="G43" i="1"/>
  <c r="G44" i="1"/>
  <c r="D9" i="1"/>
  <c r="D10" i="1" s="1"/>
  <c r="E10" i="1" s="1"/>
  <c r="D11" i="1" s="1"/>
  <c r="H31" i="1" l="1"/>
  <c r="G18" i="1"/>
  <c r="H24" i="1"/>
  <c r="G19" i="1"/>
  <c r="H19" i="1"/>
  <c r="E9" i="1"/>
  <c r="D14" i="1" s="1"/>
  <c r="E14" i="1" s="1"/>
  <c r="H25" i="1"/>
  <c r="H23" i="1"/>
  <c r="H18" i="1"/>
  <c r="H5" i="1"/>
  <c r="E11" i="1"/>
  <c r="H40" i="1"/>
  <c r="H34" i="1"/>
  <c r="H35" i="1"/>
  <c r="H39" i="1"/>
  <c r="I4" i="1"/>
  <c r="I31" i="1" s="1"/>
  <c r="H44" i="1"/>
  <c r="H36" i="1"/>
  <c r="H43" i="1"/>
  <c r="H38" i="1"/>
  <c r="H37" i="1"/>
  <c r="H41" i="1"/>
  <c r="H42" i="1"/>
  <c r="H33" i="1"/>
  <c r="H16" i="1"/>
  <c r="D21" i="1" l="1"/>
  <c r="D20" i="1"/>
  <c r="E20" i="1"/>
  <c r="D15" i="1"/>
  <c r="E15" i="1" s="1"/>
  <c r="H11" i="1"/>
  <c r="D12" i="1"/>
  <c r="G16" i="1"/>
  <c r="G9" i="1"/>
  <c r="I5" i="1"/>
  <c r="I23" i="1"/>
  <c r="I25" i="1"/>
  <c r="I19" i="1"/>
  <c r="I24" i="1"/>
  <c r="I18" i="1"/>
  <c r="H9" i="1"/>
  <c r="I9" i="1"/>
  <c r="I33" i="1"/>
  <c r="I34" i="1"/>
  <c r="I37" i="1"/>
  <c r="I41" i="1"/>
  <c r="I36" i="1"/>
  <c r="I35" i="1"/>
  <c r="I43" i="1"/>
  <c r="I42" i="1"/>
  <c r="I38" i="1"/>
  <c r="J4" i="1"/>
  <c r="J31" i="1" s="1"/>
  <c r="I44" i="1"/>
  <c r="I39" i="1"/>
  <c r="I40" i="1"/>
  <c r="I16" i="1"/>
  <c r="H10" i="1"/>
  <c r="G10" i="1"/>
  <c r="I10" i="1"/>
  <c r="E12" i="1" l="1"/>
  <c r="D13" i="1" s="1"/>
  <c r="E21" i="1"/>
  <c r="H21" i="1"/>
  <c r="J10" i="1"/>
  <c r="J19" i="1"/>
  <c r="J23" i="1"/>
  <c r="J25" i="1"/>
  <c r="J24" i="1"/>
  <c r="J18" i="1"/>
  <c r="G17" i="1"/>
  <c r="I17" i="1"/>
  <c r="H17" i="1"/>
  <c r="J17" i="1"/>
  <c r="J16" i="1"/>
  <c r="K4" i="1"/>
  <c r="J5" i="1"/>
  <c r="J36" i="1"/>
  <c r="J34" i="1"/>
  <c r="J37" i="1"/>
  <c r="J43" i="1"/>
  <c r="J9" i="1"/>
  <c r="J42" i="1"/>
  <c r="J44" i="1"/>
  <c r="J35" i="1"/>
  <c r="J40" i="1"/>
  <c r="J39" i="1"/>
  <c r="J33" i="1"/>
  <c r="J38" i="1"/>
  <c r="J41" i="1"/>
  <c r="K12" i="1" l="1"/>
  <c r="K31" i="1"/>
  <c r="G21" i="1"/>
  <c r="D22" i="1"/>
  <c r="E22" i="1" s="1"/>
  <c r="I12" i="1"/>
  <c r="E13" i="1"/>
  <c r="H13" i="1"/>
  <c r="I13" i="1"/>
  <c r="J13" i="1"/>
  <c r="K13" i="1"/>
  <c r="G13" i="1"/>
  <c r="J21" i="1"/>
  <c r="I21" i="1"/>
  <c r="J12" i="1"/>
  <c r="G12" i="1"/>
  <c r="H12" i="1"/>
  <c r="K25" i="1"/>
  <c r="K24" i="1"/>
  <c r="K23" i="1"/>
  <c r="K19" i="1"/>
  <c r="K21" i="1"/>
  <c r="K18" i="1"/>
  <c r="K17" i="1"/>
  <c r="K43" i="1"/>
  <c r="K38" i="1"/>
  <c r="K42" i="1"/>
  <c r="K36" i="1"/>
  <c r="K44" i="1"/>
  <c r="K5" i="1"/>
  <c r="K33" i="1"/>
  <c r="K9" i="1"/>
  <c r="K10" i="1"/>
  <c r="K35" i="1"/>
  <c r="K37" i="1"/>
  <c r="K16" i="1"/>
  <c r="K34" i="1"/>
  <c r="K39" i="1"/>
  <c r="K41" i="1"/>
  <c r="K40" i="1"/>
  <c r="L4" i="1"/>
  <c r="K11" i="1"/>
  <c r="L11" i="1"/>
  <c r="J11" i="1"/>
  <c r="G11" i="1"/>
  <c r="I11" i="1"/>
  <c r="L12" i="1" l="1"/>
  <c r="L31" i="1"/>
  <c r="K22" i="1"/>
  <c r="L13" i="1"/>
  <c r="H22" i="1"/>
  <c r="G22" i="1"/>
  <c r="I22" i="1"/>
  <c r="J22" i="1"/>
  <c r="L24" i="1"/>
  <c r="L23" i="1"/>
  <c r="L25" i="1"/>
  <c r="L22" i="1"/>
  <c r="L19" i="1"/>
  <c r="L21" i="1"/>
  <c r="L18" i="1"/>
  <c r="L17" i="1"/>
  <c r="L35" i="1"/>
  <c r="L37" i="1"/>
  <c r="M4" i="1"/>
  <c r="M31" i="1" s="1"/>
  <c r="L5" i="1"/>
  <c r="L41" i="1"/>
  <c r="L43" i="1"/>
  <c r="L36" i="1"/>
  <c r="L16" i="1"/>
  <c r="L34" i="1"/>
  <c r="L38" i="1"/>
  <c r="L40" i="1"/>
  <c r="L33" i="1"/>
  <c r="L39" i="1"/>
  <c r="L42" i="1"/>
  <c r="L9" i="1"/>
  <c r="L10" i="1"/>
  <c r="L44" i="1"/>
  <c r="M12" i="1" l="1"/>
  <c r="M13" i="1"/>
  <c r="M24" i="1"/>
  <c r="M25" i="1"/>
  <c r="M23" i="1"/>
  <c r="M22" i="1"/>
  <c r="M21" i="1"/>
  <c r="M19" i="1"/>
  <c r="M18" i="1"/>
  <c r="M17" i="1"/>
  <c r="H14" i="1"/>
  <c r="G14" i="1"/>
  <c r="M33" i="1"/>
  <c r="M39" i="1"/>
  <c r="M41" i="1"/>
  <c r="M44" i="1"/>
  <c r="M42" i="1"/>
  <c r="M40" i="1"/>
  <c r="M10" i="1"/>
  <c r="M36" i="1"/>
  <c r="M11" i="1"/>
  <c r="M37" i="1"/>
  <c r="M35" i="1"/>
  <c r="M34" i="1"/>
  <c r="M9" i="1"/>
  <c r="M16" i="1"/>
  <c r="M5" i="1"/>
  <c r="M38" i="1"/>
  <c r="M43" i="1"/>
  <c r="N4" i="1"/>
  <c r="N31" i="1" s="1"/>
  <c r="M14" i="1"/>
  <c r="K14" i="1"/>
  <c r="L14" i="1"/>
  <c r="J14" i="1"/>
  <c r="I14" i="1"/>
  <c r="N12" i="1" l="1"/>
  <c r="N13" i="1"/>
  <c r="G15" i="1"/>
  <c r="H15" i="1"/>
  <c r="I15" i="1"/>
  <c r="L15" i="1"/>
  <c r="K15" i="1"/>
  <c r="J15" i="1"/>
  <c r="N15" i="1"/>
  <c r="M15" i="1"/>
  <c r="M20" i="1"/>
  <c r="K20" i="1"/>
  <c r="N20" i="1"/>
  <c r="I20" i="1"/>
  <c r="J20" i="1"/>
  <c r="L20" i="1"/>
  <c r="H20" i="1"/>
  <c r="G20" i="1"/>
  <c r="N14" i="1"/>
  <c r="N24" i="1"/>
  <c r="N23" i="1"/>
  <c r="N18" i="1"/>
  <c r="N25" i="1"/>
  <c r="N22" i="1"/>
  <c r="N21" i="1"/>
  <c r="N19" i="1"/>
  <c r="N17" i="1"/>
  <c r="N34" i="1"/>
  <c r="N11" i="1"/>
  <c r="N42" i="1"/>
  <c r="N39" i="1"/>
  <c r="N43" i="1"/>
  <c r="N44" i="1"/>
  <c r="N35" i="1"/>
  <c r="O4" i="1"/>
  <c r="N9" i="1"/>
  <c r="N40" i="1"/>
  <c r="N33" i="1"/>
  <c r="N16" i="1"/>
  <c r="N5" i="1"/>
  <c r="N38" i="1"/>
  <c r="N37" i="1"/>
  <c r="N10" i="1"/>
  <c r="N41" i="1"/>
  <c r="N36" i="1"/>
  <c r="I26" i="1"/>
  <c r="O15" i="1" l="1"/>
  <c r="O31" i="1"/>
  <c r="O20" i="1"/>
  <c r="O12" i="1"/>
  <c r="O13" i="1"/>
  <c r="K26" i="1"/>
  <c r="N26" i="1"/>
  <c r="L26" i="1"/>
  <c r="J26" i="1"/>
  <c r="G26" i="1"/>
  <c r="H26" i="1"/>
  <c r="O26" i="1"/>
  <c r="M26" i="1"/>
  <c r="O24" i="1"/>
  <c r="O21" i="1"/>
  <c r="O23" i="1"/>
  <c r="O18" i="1"/>
  <c r="O25" i="1"/>
  <c r="O19" i="1"/>
  <c r="O22" i="1"/>
  <c r="O17" i="1"/>
  <c r="O43" i="1"/>
  <c r="O41" i="1"/>
  <c r="O36" i="1"/>
  <c r="O14" i="1"/>
  <c r="O44" i="1"/>
  <c r="O11" i="1"/>
  <c r="P4" i="1"/>
  <c r="P31" i="1" s="1"/>
  <c r="O5" i="1"/>
  <c r="O33" i="1"/>
  <c r="O35" i="1"/>
  <c r="O37" i="1"/>
  <c r="O16" i="1"/>
  <c r="O9" i="1"/>
  <c r="O40" i="1"/>
  <c r="O10" i="1"/>
  <c r="O38" i="1"/>
  <c r="O39" i="1"/>
  <c r="O34" i="1"/>
  <c r="O42" i="1"/>
  <c r="P12" i="1" l="1"/>
  <c r="P13" i="1"/>
  <c r="P15" i="1"/>
  <c r="P23" i="1"/>
  <c r="P24" i="1"/>
  <c r="P21" i="1"/>
  <c r="P25" i="1"/>
  <c r="P18" i="1"/>
  <c r="P22" i="1"/>
  <c r="P19" i="1"/>
  <c r="P17" i="1"/>
  <c r="P26" i="1"/>
  <c r="P20" i="1"/>
  <c r="P14" i="1"/>
  <c r="P42" i="1"/>
  <c r="P39" i="1"/>
  <c r="P40" i="1"/>
  <c r="P16" i="1"/>
  <c r="P35" i="1"/>
  <c r="P33" i="1"/>
  <c r="Q4" i="1"/>
  <c r="Q31" i="1" s="1"/>
  <c r="P10" i="1"/>
  <c r="P11" i="1"/>
  <c r="P36" i="1"/>
  <c r="P38" i="1"/>
  <c r="P44" i="1"/>
  <c r="P41" i="1"/>
  <c r="P34" i="1"/>
  <c r="P5" i="1"/>
  <c r="P37" i="1"/>
  <c r="P43" i="1"/>
  <c r="P9" i="1"/>
  <c r="M29" i="1"/>
  <c r="Q12" i="1" l="1"/>
  <c r="Q13" i="1"/>
  <c r="Q15" i="1"/>
  <c r="Q18" i="1"/>
  <c r="Q21" i="1"/>
  <c r="Q24" i="1"/>
  <c r="Q23" i="1"/>
  <c r="Q25" i="1"/>
  <c r="Q19" i="1"/>
  <c r="Q22" i="1"/>
  <c r="Q17" i="1"/>
  <c r="Q26" i="1"/>
  <c r="Q20" i="1"/>
  <c r="P29" i="1"/>
  <c r="O29" i="1"/>
  <c r="Q41" i="1"/>
  <c r="Q5" i="1"/>
  <c r="Q44" i="1"/>
  <c r="Q39" i="1"/>
  <c r="Q10" i="1"/>
  <c r="Q9" i="1"/>
  <c r="Q40" i="1"/>
  <c r="Q36" i="1"/>
  <c r="Q42" i="1"/>
  <c r="R4" i="1"/>
  <c r="R31" i="1" s="1"/>
  <c r="Q11" i="1"/>
  <c r="Q14" i="1"/>
  <c r="Q33" i="1"/>
  <c r="Q43" i="1"/>
  <c r="Q16" i="1"/>
  <c r="Q35" i="1"/>
  <c r="Q38" i="1"/>
  <c r="Q37" i="1"/>
  <c r="Q34" i="1"/>
  <c r="G29" i="1"/>
  <c r="N29" i="1"/>
  <c r="Q29" i="1"/>
  <c r="L29" i="1"/>
  <c r="K29" i="1"/>
  <c r="J29" i="1"/>
  <c r="I29" i="1"/>
  <c r="H29" i="1"/>
  <c r="R12" i="1" l="1"/>
  <c r="R13" i="1"/>
  <c r="R15" i="1"/>
  <c r="R18" i="1"/>
  <c r="R21" i="1"/>
  <c r="R25" i="1"/>
  <c r="R24" i="1"/>
  <c r="R23" i="1"/>
  <c r="R19" i="1"/>
  <c r="R22" i="1"/>
  <c r="R17" i="1"/>
  <c r="R26" i="1"/>
  <c r="R20" i="1"/>
  <c r="R29" i="1"/>
  <c r="R43" i="1"/>
  <c r="R14" i="1"/>
  <c r="R40" i="1"/>
  <c r="R9" i="1"/>
  <c r="R34" i="1"/>
  <c r="R16" i="1"/>
  <c r="R35" i="1"/>
  <c r="R38" i="1"/>
  <c r="R44" i="1"/>
  <c r="R37" i="1"/>
  <c r="R39" i="1"/>
  <c r="R5" i="1"/>
  <c r="R10" i="1"/>
  <c r="R11" i="1"/>
  <c r="R36" i="1"/>
  <c r="R42" i="1"/>
  <c r="S4" i="1"/>
  <c r="S31" i="1" s="1"/>
  <c r="R33" i="1"/>
  <c r="R41" i="1"/>
  <c r="G32" i="1"/>
  <c r="S12" i="1" l="1"/>
  <c r="S13" i="1"/>
  <c r="S15" i="1"/>
  <c r="S23" i="1"/>
  <c r="S25" i="1"/>
  <c r="S24" i="1"/>
  <c r="S22" i="1"/>
  <c r="S18" i="1"/>
  <c r="S21" i="1"/>
  <c r="S19" i="1"/>
  <c r="S17" i="1"/>
  <c r="S26" i="1"/>
  <c r="S20" i="1"/>
  <c r="S36" i="1"/>
  <c r="S34" i="1"/>
  <c r="S40" i="1"/>
  <c r="S41" i="1"/>
  <c r="S42" i="1"/>
  <c r="S29" i="1"/>
  <c r="S14" i="1"/>
  <c r="S37" i="1"/>
  <c r="S16" i="1"/>
  <c r="S11" i="1"/>
  <c r="S43" i="1"/>
  <c r="S5" i="1"/>
  <c r="S10" i="1"/>
  <c r="S33" i="1"/>
  <c r="S44" i="1"/>
  <c r="S39" i="1"/>
  <c r="S9" i="1"/>
  <c r="S35" i="1"/>
  <c r="S38" i="1"/>
  <c r="T4" i="1"/>
  <c r="T31" i="1" s="1"/>
  <c r="Q32" i="1"/>
  <c r="P32" i="1"/>
  <c r="N32" i="1"/>
  <c r="S32" i="1"/>
  <c r="O32" i="1"/>
  <c r="M32" i="1"/>
  <c r="L32" i="1"/>
  <c r="K32" i="1"/>
  <c r="J32" i="1"/>
  <c r="I32" i="1"/>
  <c r="H32" i="1"/>
  <c r="R32" i="1"/>
  <c r="T10" i="1"/>
  <c r="T12" i="1" l="1"/>
  <c r="T13" i="1"/>
  <c r="T15" i="1"/>
  <c r="T9" i="1"/>
  <c r="T19" i="1"/>
  <c r="T23" i="1"/>
  <c r="T25" i="1"/>
  <c r="T24" i="1"/>
  <c r="T22" i="1"/>
  <c r="T18" i="1"/>
  <c r="T21" i="1"/>
  <c r="T17" i="1"/>
  <c r="T20" i="1"/>
  <c r="T26" i="1"/>
  <c r="T29" i="1"/>
  <c r="T11" i="1"/>
  <c r="T38" i="1"/>
  <c r="T14" i="1"/>
  <c r="T36" i="1"/>
  <c r="T35" i="1"/>
  <c r="T40" i="1"/>
  <c r="T16" i="1"/>
  <c r="T37" i="1"/>
  <c r="U4" i="1"/>
  <c r="T5" i="1"/>
  <c r="T34" i="1"/>
  <c r="T33" i="1"/>
  <c r="T39" i="1"/>
  <c r="T32" i="1"/>
  <c r="T41" i="1"/>
  <c r="U12" i="1" l="1"/>
  <c r="U13" i="1"/>
  <c r="U15" i="1"/>
  <c r="U41" i="1"/>
  <c r="U23" i="1"/>
  <c r="U25" i="1"/>
  <c r="U22" i="1"/>
  <c r="U24" i="1"/>
  <c r="U19" i="1"/>
  <c r="U18" i="1"/>
  <c r="U21" i="1"/>
  <c r="U17" i="1"/>
  <c r="U20" i="1"/>
  <c r="U26" i="1"/>
  <c r="U5" i="1"/>
  <c r="U36" i="1"/>
  <c r="U35" i="1"/>
  <c r="V4" i="1"/>
  <c r="U32" i="1"/>
  <c r="U14" i="1"/>
  <c r="U34" i="1"/>
  <c r="U33" i="1"/>
  <c r="U39" i="1"/>
  <c r="U9" i="1"/>
  <c r="U29" i="1"/>
  <c r="U40" i="1"/>
  <c r="U11" i="1"/>
  <c r="U38" i="1"/>
  <c r="U16" i="1"/>
  <c r="U37" i="1"/>
  <c r="U10" i="1"/>
  <c r="U42" i="1"/>
  <c r="T42" i="1"/>
  <c r="V39" i="1"/>
  <c r="T43" i="1"/>
  <c r="V12" i="1" l="1"/>
  <c r="V13" i="1"/>
  <c r="V15" i="1"/>
  <c r="V24" i="1"/>
  <c r="V22" i="1"/>
  <c r="V23" i="1"/>
  <c r="V25" i="1"/>
  <c r="V19" i="1"/>
  <c r="V18" i="1"/>
  <c r="V21" i="1"/>
  <c r="V17" i="1"/>
  <c r="V20" i="1"/>
  <c r="V26" i="1"/>
  <c r="V40" i="1"/>
  <c r="V38" i="1"/>
  <c r="V35" i="1"/>
  <c r="V32" i="1"/>
  <c r="V29" i="1"/>
  <c r="V14" i="1"/>
  <c r="V42" i="1"/>
  <c r="V9" i="1"/>
  <c r="V11" i="1"/>
  <c r="V41" i="1"/>
  <c r="V33" i="1"/>
  <c r="V5" i="1"/>
  <c r="V16" i="1"/>
  <c r="V37" i="1"/>
  <c r="V36" i="1"/>
  <c r="W4" i="1"/>
  <c r="V10" i="1"/>
  <c r="V34" i="1"/>
  <c r="V43" i="1"/>
  <c r="U43" i="1"/>
  <c r="W29" i="1"/>
  <c r="U44" i="1"/>
  <c r="W12" i="1" l="1"/>
  <c r="W13" i="1"/>
  <c r="W15" i="1"/>
  <c r="W43" i="1"/>
  <c r="W23" i="1"/>
  <c r="W22" i="1"/>
  <c r="W25" i="1"/>
  <c r="W24" i="1"/>
  <c r="W19" i="1"/>
  <c r="W21" i="1"/>
  <c r="W18" i="1"/>
  <c r="W17" i="1"/>
  <c r="W20" i="1"/>
  <c r="W26" i="1"/>
  <c r="W11" i="1"/>
  <c r="W14" i="1"/>
  <c r="W16" i="1"/>
  <c r="W42" i="1"/>
  <c r="W5" i="1"/>
  <c r="W41" i="1"/>
  <c r="W33" i="1"/>
  <c r="X4" i="1"/>
  <c r="W40" i="1"/>
  <c r="W38" i="1"/>
  <c r="W32" i="1"/>
  <c r="W36" i="1"/>
  <c r="W10" i="1"/>
  <c r="W39" i="1"/>
  <c r="W35" i="1"/>
  <c r="W9" i="1"/>
  <c r="W37" i="1"/>
  <c r="W34" i="1"/>
  <c r="V44" i="1"/>
  <c r="X33" i="1"/>
  <c r="W44" i="1"/>
  <c r="T44" i="1"/>
  <c r="X12" i="1" l="1"/>
  <c r="X13" i="1"/>
  <c r="X15" i="1"/>
  <c r="X22" i="1"/>
  <c r="X19" i="1"/>
  <c r="X23" i="1"/>
  <c r="X25" i="1"/>
  <c r="X24" i="1"/>
  <c r="X18" i="1"/>
  <c r="X21" i="1"/>
  <c r="X17" i="1"/>
  <c r="X26" i="1"/>
  <c r="X20" i="1"/>
  <c r="X29" i="1"/>
  <c r="X43" i="1"/>
  <c r="X42" i="1"/>
  <c r="X41" i="1"/>
  <c r="X38" i="1"/>
  <c r="X14" i="1"/>
  <c r="X16" i="1"/>
  <c r="X37" i="1"/>
  <c r="X11" i="1"/>
  <c r="X9" i="1"/>
  <c r="X35" i="1"/>
  <c r="X39" i="1"/>
  <c r="X5" i="1"/>
  <c r="X40" i="1"/>
  <c r="X10" i="1"/>
  <c r="X36" i="1"/>
  <c r="X34" i="1"/>
  <c r="Y4" i="1"/>
  <c r="X44" i="1"/>
  <c r="X32" i="1"/>
  <c r="Y33" i="1"/>
  <c r="Y12" i="1" l="1"/>
  <c r="Y13" i="1"/>
  <c r="Y15" i="1"/>
  <c r="Y11" i="1"/>
  <c r="Y24" i="1"/>
  <c r="Y25" i="1"/>
  <c r="Y23" i="1"/>
  <c r="Y18" i="1"/>
  <c r="Y22" i="1"/>
  <c r="Y19" i="1"/>
  <c r="Y21" i="1"/>
  <c r="Y17" i="1"/>
  <c r="Y26" i="1"/>
  <c r="Y20" i="1"/>
  <c r="Y44" i="1"/>
  <c r="Y42" i="1"/>
  <c r="Y32" i="1"/>
  <c r="Y43" i="1"/>
  <c r="Y29" i="1"/>
  <c r="Y14" i="1"/>
  <c r="Y39" i="1"/>
  <c r="Y36" i="1"/>
  <c r="Y16" i="1"/>
  <c r="Y41" i="1"/>
  <c r="Y9" i="1"/>
  <c r="Y40" i="1"/>
  <c r="Y38" i="1"/>
  <c r="Y5" i="1"/>
  <c r="Y35" i="1"/>
  <c r="Y10" i="1"/>
  <c r="Z4" i="1"/>
  <c r="Y34" i="1"/>
  <c r="Y37" i="1"/>
  <c r="Z16" i="1"/>
  <c r="Z12" i="1" l="1"/>
  <c r="Z13" i="1"/>
  <c r="Z15" i="1"/>
  <c r="Z14" i="1"/>
  <c r="Z18" i="1"/>
  <c r="Z24" i="1"/>
  <c r="Z25" i="1"/>
  <c r="Z23" i="1"/>
  <c r="Z19" i="1"/>
  <c r="Z22" i="1"/>
  <c r="Z21" i="1"/>
  <c r="Z17" i="1"/>
  <c r="Z26" i="1"/>
  <c r="Z20" i="1"/>
  <c r="Z40" i="1"/>
  <c r="Z38" i="1"/>
  <c r="Z11" i="1"/>
  <c r="Z34" i="1"/>
  <c r="AA4" i="1"/>
  <c r="Z35" i="1"/>
  <c r="Z5" i="1"/>
  <c r="Z9" i="1"/>
  <c r="Z32" i="1"/>
  <c r="Z29" i="1"/>
  <c r="Z37" i="1"/>
  <c r="Z10" i="1"/>
  <c r="Z36" i="1"/>
  <c r="Z39" i="1"/>
  <c r="Z44" i="1"/>
  <c r="Z33" i="1"/>
  <c r="Z43" i="1"/>
  <c r="Z42" i="1"/>
  <c r="Z41" i="1"/>
  <c r="AA12" i="1" l="1"/>
  <c r="AA13" i="1"/>
  <c r="AA15" i="1"/>
  <c r="AB4" i="1"/>
  <c r="AB10" i="1" s="1"/>
  <c r="AA24" i="1"/>
  <c r="AA21" i="1"/>
  <c r="AA18" i="1"/>
  <c r="AA25" i="1"/>
  <c r="AA23" i="1"/>
  <c r="AA22" i="1"/>
  <c r="AA19" i="1"/>
  <c r="AA17" i="1"/>
  <c r="AA20" i="1"/>
  <c r="AA26" i="1"/>
  <c r="AA40" i="1"/>
  <c r="AA43" i="1"/>
  <c r="AA42" i="1"/>
  <c r="AA41" i="1"/>
  <c r="AA38" i="1"/>
  <c r="AA29" i="1"/>
  <c r="AA14" i="1"/>
  <c r="AA11" i="1"/>
  <c r="AA44" i="1"/>
  <c r="AA10" i="1"/>
  <c r="AA33" i="1"/>
  <c r="AA37" i="1"/>
  <c r="AA16" i="1"/>
  <c r="AA36" i="1"/>
  <c r="AA34" i="1"/>
  <c r="AA9" i="1"/>
  <c r="AA39" i="1"/>
  <c r="AA32" i="1"/>
  <c r="AA5" i="1"/>
  <c r="AA35" i="1"/>
  <c r="AB38" i="1"/>
  <c r="AB43" i="1"/>
  <c r="AB44" i="1" l="1"/>
  <c r="AB36" i="1"/>
  <c r="AB37" i="1"/>
  <c r="AB32" i="1"/>
  <c r="AB29" i="1"/>
  <c r="AB14" i="1"/>
  <c r="AB11" i="1"/>
  <c r="AB9" i="1"/>
  <c r="AB42" i="1"/>
  <c r="AB5" i="1"/>
  <c r="AB41" i="1"/>
  <c r="AC4" i="1"/>
  <c r="AC17" i="1" s="1"/>
  <c r="AB40" i="1"/>
  <c r="AB33" i="1"/>
  <c r="AB12" i="1"/>
  <c r="AB13" i="1"/>
  <c r="AB15" i="1"/>
  <c r="AB35" i="1"/>
  <c r="AB39" i="1"/>
  <c r="AB34" i="1"/>
  <c r="AB16" i="1"/>
  <c r="AB21" i="1"/>
  <c r="AB18" i="1"/>
  <c r="AB24" i="1"/>
  <c r="AB23" i="1"/>
  <c r="AB25" i="1"/>
  <c r="AB19" i="1"/>
  <c r="AB22" i="1"/>
  <c r="AB17" i="1"/>
  <c r="AB26" i="1"/>
  <c r="AB20" i="1"/>
  <c r="AC24" i="1" l="1"/>
  <c r="AC43" i="1"/>
  <c r="AC12" i="1"/>
  <c r="AC44" i="1"/>
  <c r="AC18" i="1"/>
  <c r="AC23" i="1"/>
  <c r="AC42" i="1"/>
  <c r="AC15" i="1"/>
  <c r="AC35" i="1"/>
  <c r="AC34" i="1"/>
  <c r="AC29" i="1"/>
  <c r="AC14" i="1"/>
  <c r="AC10" i="1"/>
  <c r="AC16" i="1"/>
  <c r="AC21" i="1"/>
  <c r="AC25" i="1"/>
  <c r="AC13" i="1"/>
  <c r="AC41" i="1"/>
  <c r="AC11" i="1"/>
  <c r="AC40" i="1"/>
  <c r="AC5" i="1"/>
  <c r="AC38" i="1"/>
  <c r="AC19" i="1"/>
  <c r="AD4" i="1"/>
  <c r="AD21" i="1" s="1"/>
  <c r="AC37" i="1"/>
  <c r="AC33" i="1"/>
  <c r="AC36" i="1"/>
  <c r="AC39" i="1"/>
  <c r="AC22" i="1"/>
  <c r="AC20" i="1"/>
  <c r="AC9" i="1"/>
  <c r="AC26" i="1"/>
  <c r="AC32" i="1"/>
  <c r="AD25" i="1" l="1"/>
  <c r="AD36" i="1"/>
  <c r="AD18" i="1"/>
  <c r="AD34" i="1"/>
  <c r="AD32" i="1"/>
  <c r="AD15" i="1"/>
  <c r="AD37" i="1"/>
  <c r="AD35" i="1"/>
  <c r="AD23" i="1"/>
  <c r="AD24" i="1"/>
  <c r="AE4" i="1"/>
  <c r="AE23" i="1" s="1"/>
  <c r="AD13" i="1"/>
  <c r="AD9" i="1"/>
  <c r="AD33" i="1"/>
  <c r="AD39" i="1"/>
  <c r="AD5" i="1"/>
  <c r="AD38" i="1"/>
  <c r="AD10" i="1"/>
  <c r="AD26" i="1"/>
  <c r="AD12" i="1"/>
  <c r="AD44" i="1"/>
  <c r="AD20" i="1"/>
  <c r="AD43" i="1"/>
  <c r="AD29" i="1"/>
  <c r="AD17" i="1"/>
  <c r="AD42" i="1"/>
  <c r="AD14" i="1"/>
  <c r="AD22" i="1"/>
  <c r="AD19" i="1"/>
  <c r="AD41" i="1"/>
  <c r="AD11" i="1"/>
  <c r="AD40" i="1"/>
  <c r="AD16" i="1"/>
  <c r="AE20" i="1"/>
  <c r="AE15" i="1" l="1"/>
  <c r="AE12" i="1"/>
  <c r="AE34" i="1"/>
  <c r="AE32" i="1"/>
  <c r="AE9" i="1"/>
  <c r="AE10" i="1"/>
  <c r="AE26" i="1"/>
  <c r="AE11" i="1"/>
  <c r="AE44" i="1"/>
  <c r="AE42" i="1"/>
  <c r="AE21" i="1"/>
  <c r="AE29" i="1"/>
  <c r="AE18" i="1"/>
  <c r="AE33" i="1"/>
  <c r="AE41" i="1"/>
  <c r="AE40" i="1"/>
  <c r="AE16" i="1"/>
  <c r="AE38" i="1"/>
  <c r="AE37" i="1"/>
  <c r="AE24" i="1"/>
  <c r="AE36" i="1"/>
  <c r="AE39" i="1"/>
  <c r="AE25" i="1"/>
  <c r="AE43" i="1"/>
  <c r="AE17" i="1"/>
  <c r="AE14" i="1"/>
  <c r="AE22" i="1"/>
  <c r="AF4" i="1"/>
  <c r="AF26" i="1" s="1"/>
  <c r="AE19" i="1"/>
  <c r="AE35" i="1"/>
  <c r="AE5" i="1"/>
  <c r="AF17" i="1"/>
  <c r="AF14" i="1"/>
  <c r="AF29" i="1"/>
  <c r="AF42" i="1"/>
  <c r="AF43" i="1"/>
  <c r="AF39" i="1" l="1"/>
  <c r="AF24" i="1"/>
  <c r="AF21" i="1"/>
  <c r="AF40" i="1"/>
  <c r="AF38" i="1"/>
  <c r="AF37" i="1"/>
  <c r="AF25" i="1"/>
  <c r="AF35" i="1"/>
  <c r="AF9" i="1"/>
  <c r="AF11" i="1"/>
  <c r="AF22" i="1"/>
  <c r="AF36" i="1"/>
  <c r="AF23" i="1"/>
  <c r="AF5" i="1"/>
  <c r="AF15" i="1"/>
  <c r="AF41" i="1"/>
  <c r="AF16" i="1"/>
  <c r="AF18" i="1"/>
  <c r="AF19" i="1"/>
  <c r="AG4" i="1"/>
  <c r="AG18" i="1" s="1"/>
  <c r="AF33" i="1"/>
  <c r="AF34" i="1"/>
  <c r="AF32" i="1"/>
  <c r="AF10" i="1"/>
  <c r="AF12" i="1"/>
  <c r="AF20" i="1"/>
  <c r="AF44" i="1"/>
  <c r="AG22" i="1"/>
  <c r="AG39" i="1"/>
  <c r="AG33" i="1"/>
  <c r="AH4" i="1"/>
  <c r="AG11" i="1"/>
  <c r="AG37" i="1" l="1"/>
  <c r="AG19" i="1"/>
  <c r="AG25" i="1"/>
  <c r="AG40" i="1"/>
  <c r="AG24" i="1"/>
  <c r="AG38" i="1"/>
  <c r="AG23" i="1"/>
  <c r="AG36" i="1"/>
  <c r="AG35" i="1"/>
  <c r="AG10" i="1"/>
  <c r="AG9" i="1"/>
  <c r="AG5" i="1"/>
  <c r="AG32" i="1"/>
  <c r="AG26" i="1"/>
  <c r="AG12" i="1"/>
  <c r="AG44" i="1"/>
  <c r="AG20" i="1"/>
  <c r="AG43" i="1"/>
  <c r="AG29" i="1"/>
  <c r="AG17" i="1"/>
  <c r="AG34" i="1"/>
  <c r="AG15" i="1"/>
  <c r="AG42" i="1"/>
  <c r="AG14" i="1"/>
  <c r="AG21" i="1"/>
  <c r="AG41" i="1"/>
  <c r="AG16" i="1"/>
  <c r="AH12" i="1"/>
  <c r="AH15" i="1"/>
  <c r="AH23" i="1"/>
  <c r="AH25" i="1"/>
  <c r="AH19" i="1"/>
  <c r="AH22" i="1"/>
  <c r="AH24" i="1"/>
  <c r="AH21" i="1"/>
  <c r="AH18" i="1"/>
  <c r="AH17" i="1"/>
  <c r="AH20" i="1"/>
  <c r="AH26" i="1"/>
  <c r="AH39" i="1"/>
  <c r="AH33" i="1"/>
  <c r="AI4" i="1"/>
  <c r="AH10" i="1"/>
  <c r="AH5" i="1"/>
  <c r="AH16" i="1"/>
  <c r="AH11" i="1"/>
  <c r="AH9" i="1"/>
  <c r="AH14" i="1"/>
  <c r="AH29" i="1"/>
  <c r="AH32" i="1"/>
  <c r="AH34" i="1"/>
  <c r="AH35" i="1"/>
  <c r="AH36" i="1"/>
  <c r="AH37" i="1"/>
  <c r="AH38" i="1"/>
  <c r="AH40" i="1"/>
  <c r="AH41" i="1"/>
  <c r="AH42" i="1"/>
  <c r="AH43" i="1"/>
  <c r="AH44" i="1"/>
  <c r="AI23" i="1" l="1"/>
  <c r="AI25" i="1"/>
  <c r="AI19" i="1"/>
  <c r="AI22" i="1"/>
  <c r="AI24" i="1"/>
  <c r="AI21" i="1"/>
  <c r="AI18" i="1"/>
  <c r="AI17" i="1"/>
  <c r="AI26" i="1"/>
  <c r="AI20" i="1"/>
  <c r="AI33" i="1"/>
  <c r="AJ4" i="1"/>
  <c r="AI9" i="1"/>
  <c r="AI5" i="1"/>
  <c r="AI39" i="1"/>
  <c r="AI16" i="1"/>
  <c r="AI10" i="1"/>
  <c r="AI11" i="1"/>
  <c r="AI14" i="1"/>
  <c r="AI29" i="1"/>
  <c r="AI32" i="1"/>
  <c r="AI34" i="1"/>
  <c r="AI35" i="1"/>
  <c r="AI36" i="1"/>
  <c r="AI37" i="1"/>
  <c r="AI38" i="1"/>
  <c r="AI40" i="1"/>
  <c r="AI41" i="1"/>
  <c r="AI42" i="1"/>
  <c r="AI43" i="1"/>
  <c r="AI44" i="1"/>
  <c r="AJ24" i="1" l="1"/>
  <c r="AJ23" i="1"/>
  <c r="AJ25" i="1"/>
  <c r="AJ22" i="1"/>
  <c r="AJ19" i="1"/>
  <c r="AJ18" i="1"/>
  <c r="AJ21" i="1"/>
  <c r="AJ17" i="1"/>
  <c r="AJ26" i="1"/>
  <c r="AJ20" i="1"/>
  <c r="AJ33" i="1"/>
  <c r="AK4" i="1"/>
  <c r="AJ5" i="1"/>
  <c r="AJ39" i="1"/>
  <c r="AJ11" i="1"/>
  <c r="AJ10" i="1"/>
  <c r="AJ16" i="1"/>
  <c r="AJ9" i="1"/>
  <c r="AJ14" i="1"/>
  <c r="AJ29" i="1"/>
  <c r="AJ32" i="1"/>
  <c r="AJ34" i="1"/>
  <c r="AJ35" i="1"/>
  <c r="AJ36" i="1"/>
  <c r="AJ37" i="1"/>
  <c r="AJ38" i="1"/>
  <c r="AJ40" i="1"/>
  <c r="AJ41" i="1"/>
  <c r="AJ42" i="1"/>
  <c r="AJ43" i="1"/>
  <c r="AJ44" i="1"/>
  <c r="AK33" i="1" l="1"/>
  <c r="AK25" i="1"/>
  <c r="AL4" i="1"/>
  <c r="AK10" i="1"/>
  <c r="AK5" i="1"/>
  <c r="AK39" i="1"/>
  <c r="AK11" i="1"/>
  <c r="AK16" i="1"/>
  <c r="AK9" i="1"/>
  <c r="AK14" i="1"/>
  <c r="AK26" i="1"/>
  <c r="AK29" i="1"/>
  <c r="AK32" i="1"/>
  <c r="AK34" i="1"/>
  <c r="AK35" i="1"/>
  <c r="AK36" i="1"/>
  <c r="AK37" i="1"/>
  <c r="AK38" i="1"/>
  <c r="AK40" i="1"/>
  <c r="AK41" i="1"/>
  <c r="AK42" i="1"/>
  <c r="AK43" i="1"/>
  <c r="AK44" i="1"/>
  <c r="AL33" i="1" l="1"/>
  <c r="AL25" i="1"/>
  <c r="AL9" i="1"/>
  <c r="AL5" i="1"/>
  <c r="AL39" i="1"/>
  <c r="AM4" i="1"/>
  <c r="AL11" i="1"/>
  <c r="AL10" i="1"/>
  <c r="AL16" i="1"/>
  <c r="AL14" i="1"/>
  <c r="AL26" i="1"/>
  <c r="AL29" i="1"/>
  <c r="AL32" i="1"/>
  <c r="AL34" i="1"/>
  <c r="AL35" i="1"/>
  <c r="AL36" i="1"/>
  <c r="AL37" i="1"/>
  <c r="AL38" i="1"/>
  <c r="AL40" i="1"/>
  <c r="AL41" i="1"/>
  <c r="AL42" i="1"/>
  <c r="AL43" i="1"/>
  <c r="AL44" i="1"/>
  <c r="AM25" i="1" l="1"/>
  <c r="AM5" i="1"/>
  <c r="AM39" i="1"/>
  <c r="AM33" i="1"/>
  <c r="AN4" i="1"/>
  <c r="AM16" i="1"/>
  <c r="AM11" i="1"/>
  <c r="AM9" i="1"/>
  <c r="AM10" i="1"/>
  <c r="AM14" i="1"/>
  <c r="AM26" i="1"/>
  <c r="AM29" i="1"/>
  <c r="AM32" i="1"/>
  <c r="AM34" i="1"/>
  <c r="AM35" i="1"/>
  <c r="AM36" i="1"/>
  <c r="AM37" i="1"/>
  <c r="AM38" i="1"/>
  <c r="AM40" i="1"/>
  <c r="AM41" i="1"/>
  <c r="AM42" i="1"/>
  <c r="AM43" i="1"/>
  <c r="AM44" i="1"/>
  <c r="AN16" i="1" l="1"/>
  <c r="AN25" i="1"/>
  <c r="AN10" i="1"/>
  <c r="AN5" i="1"/>
  <c r="AN39" i="1"/>
  <c r="AN33" i="1"/>
  <c r="AO4" i="1"/>
  <c r="AN11" i="1"/>
  <c r="AN9" i="1"/>
  <c r="AN14" i="1"/>
  <c r="AN26" i="1"/>
  <c r="AN29" i="1"/>
  <c r="AN32" i="1"/>
  <c r="AN34" i="1"/>
  <c r="AN35" i="1"/>
  <c r="AN36" i="1"/>
  <c r="AN37" i="1"/>
  <c r="AN38" i="1"/>
  <c r="AN40" i="1"/>
  <c r="AN41" i="1"/>
  <c r="AN42" i="1"/>
  <c r="AN43" i="1"/>
  <c r="AN44" i="1"/>
  <c r="AO25" i="1" l="1"/>
  <c r="AO9" i="1"/>
  <c r="AO5" i="1"/>
  <c r="AO39" i="1"/>
  <c r="AO33" i="1"/>
  <c r="AO11" i="1"/>
  <c r="AO10" i="1"/>
  <c r="AO16" i="1"/>
  <c r="AO14" i="1"/>
  <c r="AO26" i="1"/>
  <c r="AO29" i="1"/>
  <c r="AO32" i="1"/>
  <c r="AO34" i="1"/>
  <c r="AO35" i="1"/>
  <c r="AO36" i="1"/>
  <c r="AO37" i="1"/>
  <c r="AO38" i="1"/>
  <c r="AO40" i="1"/>
  <c r="AO41" i="1"/>
  <c r="AO42" i="1"/>
  <c r="AO43" i="1"/>
  <c r="AO44" i="1"/>
  <c r="J28" i="1"/>
  <c r="I27" i="1"/>
  <c r="D28" i="1"/>
  <c r="E28" i="1"/>
  <c r="AN28" i="1" s="1"/>
  <c r="AF27" i="1"/>
  <c r="AE27" i="1"/>
  <c r="T27" i="1"/>
  <c r="S27" i="1"/>
  <c r="P27" i="1"/>
  <c r="AM28" i="1" l="1"/>
  <c r="AB28" i="1"/>
  <c r="AC28" i="1"/>
  <c r="AG27" i="1"/>
  <c r="L27" i="1"/>
  <c r="P28" i="1"/>
  <c r="AF28" i="1"/>
  <c r="G27" i="1"/>
  <c r="O27" i="1"/>
  <c r="S28" i="1"/>
  <c r="Q28" i="1"/>
  <c r="W27" i="1"/>
  <c r="H27" i="1"/>
  <c r="H28" i="1"/>
  <c r="K27" i="1"/>
  <c r="V28" i="1"/>
  <c r="AM27" i="1"/>
  <c r="AJ28" i="1"/>
  <c r="AO28" i="1"/>
  <c r="AE28" i="1"/>
  <c r="AD28" i="1"/>
  <c r="T28" i="1"/>
  <c r="AG28" i="1"/>
  <c r="N28" i="1"/>
  <c r="AL27" i="1"/>
  <c r="W28" i="1"/>
  <c r="AN27" i="1"/>
  <c r="Y28" i="1"/>
  <c r="AK28" i="1"/>
  <c r="G28" i="1"/>
  <c r="U27" i="1"/>
  <c r="V27" i="1"/>
  <c r="AI27" i="1"/>
  <c r="AJ27" i="1"/>
  <c r="AK27" i="1"/>
  <c r="Z27" i="1"/>
  <c r="AI28" i="1"/>
  <c r="J27" i="1"/>
  <c r="X28" i="1"/>
  <c r="AB27" i="1"/>
  <c r="AO27" i="1"/>
  <c r="K28" i="1"/>
  <c r="Z28" i="1"/>
  <c r="AL28" i="1"/>
  <c r="AH27" i="1"/>
  <c r="N27" i="1"/>
  <c r="O28" i="1"/>
  <c r="X27" i="1"/>
  <c r="U28" i="1"/>
  <c r="Y27" i="1"/>
  <c r="AH28" i="1"/>
  <c r="M28" i="1"/>
  <c r="AA27" i="1"/>
  <c r="I28" i="1"/>
  <c r="Q27" i="1"/>
  <c r="L28" i="1"/>
  <c r="M27" i="1"/>
  <c r="AC27" i="1"/>
  <c r="R27" i="1"/>
  <c r="AD27" i="1"/>
  <c r="R28" i="1"/>
  <c r="AA28" i="1"/>
</calcChain>
</file>

<file path=xl/sharedStrings.xml><?xml version="1.0" encoding="utf-8"?>
<sst xmlns="http://schemas.openxmlformats.org/spreadsheetml/2006/main" count="56" uniqueCount="39">
  <si>
    <t xml:space="preserve">Startdatum: </t>
  </si>
  <si>
    <t>Anzeigewoche:</t>
  </si>
  <si>
    <t>AUFGABE</t>
  </si>
  <si>
    <t>ZUGEWIESEN
AN</t>
  </si>
  <si>
    <t>FORTSCHRITT</t>
  </si>
  <si>
    <t>START</t>
  </si>
  <si>
    <t>ENDE</t>
  </si>
  <si>
    <t>Aufgabe 3</t>
  </si>
  <si>
    <t xml:space="preserve">HSAR1 </t>
  </si>
  <si>
    <t xml:space="preserve"> </t>
  </si>
  <si>
    <t>Phase 1</t>
  </si>
  <si>
    <t>Phase 2</t>
  </si>
  <si>
    <t>Sensordaten bereitstellen</t>
  </si>
  <si>
    <t>Perception</t>
  </si>
  <si>
    <t>Analyse des Demo-Missionsplaners</t>
  </si>
  <si>
    <t>Guidance</t>
  </si>
  <si>
    <t>Definition zusätzlicher Missionen / -schritte</t>
  </si>
  <si>
    <t>Roboterpose bereitstellen</t>
  </si>
  <si>
    <t>Navigation</t>
  </si>
  <si>
    <t>Kinematikregler</t>
  </si>
  <si>
    <t>Control</t>
  </si>
  <si>
    <t>Zustandsmaschinen erstellen</t>
  </si>
  <si>
    <t>Parklückendetektion</t>
  </si>
  <si>
    <t>Linienfolgeregler</t>
  </si>
  <si>
    <t>Tabletdarstellung Parcours</t>
  </si>
  <si>
    <t>HMI</t>
  </si>
  <si>
    <t>Anzeige gefahrener Pfad</t>
  </si>
  <si>
    <t>Anzeige Parklücken</t>
  </si>
  <si>
    <t>Start / Stop mit HMI</t>
  </si>
  <si>
    <t>Aktivierung Scout- / Idlemodus mit HMI</t>
  </si>
  <si>
    <t>1.Verteidigung</t>
  </si>
  <si>
    <t>alle</t>
  </si>
  <si>
    <t>Präsentation erstellen</t>
  </si>
  <si>
    <t>2.Verteidigung</t>
  </si>
  <si>
    <t>Implementierung Missionsplaner</t>
  </si>
  <si>
    <t>Implementierung Pfadvorgabe</t>
  </si>
  <si>
    <t>Abgabe Dokumentation</t>
  </si>
  <si>
    <t>Dokumentation</t>
  </si>
  <si>
    <t>Pfadvorgabengenerator entwerfen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</si>
</sst>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&quot;&quot;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2">
    <xf numFmtId="0" fontId="0" fillId="0" borderId="0"/>
    <xf numFmtId="0" fontId="1" fillId="0" borderId="3" applyFill="0">
      <alignment horizontal="center" vertical="center"/>
    </xf>
  </cellStyleXfs>
  <cellXfs count="3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 vertical="center" shrinkToFi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3" fillId="3" borderId="0" xfId="0" applyFont="1" applyFill="1"/>
    <xf numFmtId="0" fontId="7" fillId="3" borderId="0" xfId="0" applyFont="1" applyFill="1" applyAlignment="1">
      <alignment horizontal="center" vertical="center" shrinkToFit="1"/>
    </xf>
    <xf numFmtId="0" fontId="2" fillId="4" borderId="3" xfId="1" applyFont="1" applyFill="1">
      <alignment horizontal="center" vertical="center"/>
    </xf>
    <xf numFmtId="0" fontId="1" fillId="4" borderId="3" xfId="1" applyFill="1">
      <alignment horizontal="center" vertical="center"/>
    </xf>
    <xf numFmtId="0" fontId="1" fillId="0" borderId="3" xfId="1" applyFill="1">
      <alignment horizontal="center" vertical="center"/>
    </xf>
    <xf numFmtId="0" fontId="0" fillId="5" borderId="3" xfId="1" applyFont="1" applyFill="1">
      <alignment horizontal="center" vertical="center"/>
    </xf>
    <xf numFmtId="9" fontId="1" fillId="5" borderId="3" xfId="1" applyNumberFormat="1" applyFill="1">
      <alignment horizontal="center" vertical="center"/>
    </xf>
    <xf numFmtId="14" fontId="1" fillId="5" borderId="3" xfId="1" applyNumberFormat="1" applyFill="1">
      <alignment horizontal="center" vertical="center"/>
    </xf>
    <xf numFmtId="165" fontId="8" fillId="0" borderId="3" xfId="1" applyNumberFormat="1" applyFont="1" applyFill="1">
      <alignment horizontal="center" vertical="center"/>
    </xf>
    <xf numFmtId="0" fontId="1" fillId="5" borderId="3" xfId="1" applyFill="1">
      <alignment horizontal="center" vertical="center"/>
    </xf>
    <xf numFmtId="0" fontId="2" fillId="6" borderId="3" xfId="1" applyFont="1" applyFill="1">
      <alignment horizontal="center" vertical="center"/>
    </xf>
    <xf numFmtId="0" fontId="1" fillId="6" borderId="3" xfId="1" applyFill="1">
      <alignment horizontal="center" vertical="center"/>
    </xf>
    <xf numFmtId="0" fontId="1" fillId="7" borderId="3" xfId="1" applyFill="1">
      <alignment horizontal="center" vertical="center"/>
    </xf>
    <xf numFmtId="9" fontId="1" fillId="7" borderId="3" xfId="1" applyNumberFormat="1" applyFill="1">
      <alignment horizontal="center" vertical="center"/>
    </xf>
    <xf numFmtId="14" fontId="1" fillId="7" borderId="3" xfId="1" applyNumberFormat="1" applyFill="1">
      <alignment horizontal="center" vertical="center"/>
    </xf>
    <xf numFmtId="0" fontId="2" fillId="8" borderId="3" xfId="1" applyFont="1" applyFill="1">
      <alignment horizontal="center" vertical="center"/>
    </xf>
    <xf numFmtId="0" fontId="1" fillId="8" borderId="3" xfId="1" applyFill="1">
      <alignment horizontal="center" vertical="center"/>
    </xf>
    <xf numFmtId="0" fontId="1" fillId="9" borderId="3" xfId="1" applyFill="1">
      <alignment horizontal="center" vertical="center"/>
    </xf>
    <xf numFmtId="9" fontId="1" fillId="9" borderId="3" xfId="1" applyNumberFormat="1" applyFill="1">
      <alignment horizontal="center" vertical="center"/>
    </xf>
    <xf numFmtId="14" fontId="1" fillId="9" borderId="3" xfId="1" applyNumberFormat="1" applyFill="1">
      <alignment horizontal="center" vertical="center"/>
    </xf>
    <xf numFmtId="0" fontId="2" fillId="10" borderId="3" xfId="1" applyFont="1" applyFill="1">
      <alignment horizontal="center" vertical="center"/>
    </xf>
    <xf numFmtId="0" fontId="1" fillId="10" borderId="3" xfId="1" applyFill="1">
      <alignment horizontal="center" vertical="center"/>
    </xf>
    <xf numFmtId="0" fontId="1" fillId="11" borderId="3" xfId="1" applyFill="1">
      <alignment horizontal="center" vertical="center"/>
    </xf>
    <xf numFmtId="9" fontId="1" fillId="11" borderId="3" xfId="1" applyNumberFormat="1" applyFill="1">
      <alignment horizontal="center" vertical="center"/>
    </xf>
    <xf numFmtId="14" fontId="1" fillId="11" borderId="3" xfId="1" applyNumberFormat="1" applyFill="1">
      <alignment horizontal="center" vertical="center"/>
    </xf>
    <xf numFmtId="0" fontId="10" fillId="7" borderId="3" xfId="1" applyFont="1" applyFill="1">
      <alignment horizontal="center" vertical="center"/>
    </xf>
    <xf numFmtId="0" fontId="10" fillId="5" borderId="3" xfId="1" applyFont="1" applyFill="1">
      <alignment horizontal="center" vertical="center"/>
    </xf>
  </cellXfs>
  <cellStyles count="2">
    <cellStyle name="Name" xfId="1" xr:uid="{791C7853-F2C9-47CE-B0CB-AB7E33EA1EE5}"/>
    <cellStyle name="Standard" xfId="0" builtinId="0"/>
  </cellStyles>
  <dxfs count="6">
    <dxf>
      <fill>
        <patternFill>
          <bgColor theme="0" tint="-0.34998626667073579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orlage_Gantt-Diagramm%20-%20K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 Tag"/>
      <sheetName val="GANTT KW"/>
    </sheetNames>
    <sheetDataSet>
      <sheetData sheetId="0">
        <row r="3">
          <cell r="C3">
            <v>45869</v>
          </cell>
        </row>
        <row r="4">
          <cell r="C4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84A2-A6B6-4687-A1C3-7362BF6E736B}">
  <sheetPr>
    <pageSetUpPr fitToPage="1"/>
  </sheetPr>
  <dimension ref="A1:AO44"/>
  <sheetViews>
    <sheetView tabSelected="1" topLeftCell="A4" zoomScale="85" zoomScaleNormal="85" workbookViewId="0">
      <selection activeCell="A13" sqref="A13"/>
    </sheetView>
  </sheetViews>
  <sheetFormatPr baseColWidth="10" defaultRowHeight="14.25"/>
  <cols>
    <col min="1" max="1" width="41.125" customWidth="1"/>
    <col min="2" max="2" width="17.75" customWidth="1"/>
    <col min="3" max="3" width="13.875" bestFit="1" customWidth="1"/>
    <col min="4" max="4" width="11.375" customWidth="1"/>
    <col min="6" max="6" width="3.625" customWidth="1"/>
    <col min="7" max="41" width="10.75" customWidth="1"/>
  </cols>
  <sheetData>
    <row r="1" spans="1:41" ht="24" customHeight="1">
      <c r="A1" s="1" t="s">
        <v>8</v>
      </c>
    </row>
    <row r="2" spans="1:41" ht="19.5" customHeight="1">
      <c r="A2" s="2" t="s">
        <v>9</v>
      </c>
      <c r="B2" s="2"/>
      <c r="C2" s="3"/>
    </row>
    <row r="3" spans="1:41" ht="21" customHeight="1">
      <c r="A3" s="2"/>
      <c r="B3" s="2" t="s">
        <v>0</v>
      </c>
      <c r="C3" s="4">
        <v>45957</v>
      </c>
    </row>
    <row r="4" spans="1:41" ht="15">
      <c r="A4" s="3"/>
      <c r="B4" s="2" t="s">
        <v>1</v>
      </c>
      <c r="C4" s="5">
        <v>0</v>
      </c>
      <c r="G4" s="6">
        <v>45957</v>
      </c>
      <c r="H4" s="6">
        <f>G4+7</f>
        <v>45964</v>
      </c>
      <c r="I4" s="6">
        <f t="shared" ref="I4:S4" si="0">H4+7</f>
        <v>45971</v>
      </c>
      <c r="J4" s="6">
        <f t="shared" si="0"/>
        <v>45978</v>
      </c>
      <c r="K4" s="6">
        <f t="shared" si="0"/>
        <v>45985</v>
      </c>
      <c r="L4" s="6">
        <f t="shared" si="0"/>
        <v>45992</v>
      </c>
      <c r="M4" s="6">
        <f t="shared" si="0"/>
        <v>45999</v>
      </c>
      <c r="N4" s="6">
        <f t="shared" si="0"/>
        <v>46006</v>
      </c>
      <c r="O4" s="6">
        <f t="shared" si="0"/>
        <v>46013</v>
      </c>
      <c r="P4" s="6">
        <f t="shared" si="0"/>
        <v>46020</v>
      </c>
      <c r="Q4" s="6">
        <f t="shared" si="0"/>
        <v>46027</v>
      </c>
      <c r="R4" s="6">
        <f t="shared" si="0"/>
        <v>46034</v>
      </c>
      <c r="S4" s="6">
        <f t="shared" si="0"/>
        <v>46041</v>
      </c>
      <c r="T4" s="6">
        <f t="shared" ref="T4:AO4" si="1">S4+7</f>
        <v>46048</v>
      </c>
      <c r="U4" s="6">
        <f t="shared" si="1"/>
        <v>46055</v>
      </c>
      <c r="V4" s="6">
        <f t="shared" si="1"/>
        <v>46062</v>
      </c>
      <c r="W4" s="6">
        <f t="shared" si="1"/>
        <v>46069</v>
      </c>
      <c r="X4" s="6">
        <f t="shared" si="1"/>
        <v>46076</v>
      </c>
      <c r="Y4" s="6">
        <f t="shared" si="1"/>
        <v>46083</v>
      </c>
      <c r="Z4" s="6">
        <f t="shared" si="1"/>
        <v>46090</v>
      </c>
      <c r="AA4" s="6">
        <f t="shared" si="1"/>
        <v>46097</v>
      </c>
      <c r="AB4" s="6">
        <f t="shared" si="1"/>
        <v>46104</v>
      </c>
      <c r="AC4" s="6">
        <f t="shared" si="1"/>
        <v>46111</v>
      </c>
      <c r="AD4" s="6">
        <f t="shared" si="1"/>
        <v>46118</v>
      </c>
      <c r="AE4" s="6">
        <f t="shared" si="1"/>
        <v>46125</v>
      </c>
      <c r="AF4" s="6">
        <f t="shared" si="1"/>
        <v>46132</v>
      </c>
      <c r="AG4" s="6">
        <f t="shared" si="1"/>
        <v>46139</v>
      </c>
      <c r="AH4" s="6">
        <f t="shared" si="1"/>
        <v>46146</v>
      </c>
      <c r="AI4" s="6">
        <f t="shared" si="1"/>
        <v>46153</v>
      </c>
      <c r="AJ4" s="6">
        <f t="shared" si="1"/>
        <v>46160</v>
      </c>
      <c r="AK4" s="6">
        <f t="shared" si="1"/>
        <v>46167</v>
      </c>
      <c r="AL4" s="6">
        <f t="shared" si="1"/>
        <v>46174</v>
      </c>
      <c r="AM4" s="6">
        <f t="shared" si="1"/>
        <v>46181</v>
      </c>
      <c r="AN4" s="6">
        <f t="shared" si="1"/>
        <v>46188</v>
      </c>
      <c r="AO4" s="6">
        <f t="shared" si="1"/>
        <v>46195</v>
      </c>
    </row>
    <row r="5" spans="1:41">
      <c r="G5" s="7" t="str">
        <f>"KW "&amp;TEXT(WEEKNUM(G4,21),"00")</f>
        <v>KW 44</v>
      </c>
      <c r="H5" s="7" t="str">
        <f t="shared" ref="H5:J5" si="2">"KW "&amp;TEXT(WEEKNUM(H4,21),"00")</f>
        <v>KW 45</v>
      </c>
      <c r="I5" s="7" t="str">
        <f t="shared" si="2"/>
        <v>KW 46</v>
      </c>
      <c r="J5" s="7" t="str">
        <f t="shared" si="2"/>
        <v>KW 47</v>
      </c>
      <c r="K5" s="7" t="str">
        <f>"KW "&amp;TEXT(WEEKNUM(K4,21),"00")</f>
        <v>KW 48</v>
      </c>
      <c r="L5" s="7" t="str">
        <f t="shared" ref="L5:S5" si="3">"KW "&amp;TEXT(WEEKNUM(L4,21),"00")</f>
        <v>KW 49</v>
      </c>
      <c r="M5" s="7" t="str">
        <f t="shared" si="3"/>
        <v>KW 50</v>
      </c>
      <c r="N5" s="7" t="str">
        <f t="shared" si="3"/>
        <v>KW 51</v>
      </c>
      <c r="O5" s="7" t="str">
        <f t="shared" si="3"/>
        <v>KW 52</v>
      </c>
      <c r="P5" s="7" t="str">
        <f t="shared" si="3"/>
        <v>KW 01</v>
      </c>
      <c r="Q5" s="7" t="str">
        <f t="shared" si="3"/>
        <v>KW 02</v>
      </c>
      <c r="R5" s="7" t="str">
        <f t="shared" si="3"/>
        <v>KW 03</v>
      </c>
      <c r="S5" s="7" t="str">
        <f t="shared" si="3"/>
        <v>KW 04</v>
      </c>
      <c r="T5" s="7" t="str">
        <f t="shared" ref="T5:Y5" si="4">"KW "&amp;TEXT(WEEKNUM(T4,21),"00")</f>
        <v>KW 05</v>
      </c>
      <c r="U5" s="7" t="str">
        <f t="shared" si="4"/>
        <v>KW 06</v>
      </c>
      <c r="V5" s="7" t="str">
        <f t="shared" si="4"/>
        <v>KW 07</v>
      </c>
      <c r="W5" s="7" t="str">
        <f t="shared" si="4"/>
        <v>KW 08</v>
      </c>
      <c r="X5" s="7" t="str">
        <f t="shared" si="4"/>
        <v>KW 09</v>
      </c>
      <c r="Y5" s="7" t="str">
        <f t="shared" si="4"/>
        <v>KW 10</v>
      </c>
      <c r="Z5" s="7" t="str">
        <f t="shared" ref="Z5:AJ5" si="5">"KW "&amp;TEXT(WEEKNUM(Z4,21),"00")</f>
        <v>KW 11</v>
      </c>
      <c r="AA5" s="7" t="str">
        <f t="shared" si="5"/>
        <v>KW 12</v>
      </c>
      <c r="AB5" s="7" t="str">
        <f t="shared" si="5"/>
        <v>KW 13</v>
      </c>
      <c r="AC5" s="7" t="str">
        <f t="shared" si="5"/>
        <v>KW 14</v>
      </c>
      <c r="AD5" s="7" t="str">
        <f t="shared" si="5"/>
        <v>KW 15</v>
      </c>
      <c r="AE5" s="7" t="str">
        <f t="shared" si="5"/>
        <v>KW 16</v>
      </c>
      <c r="AF5" s="7" t="str">
        <f t="shared" si="5"/>
        <v>KW 17</v>
      </c>
      <c r="AG5" s="7" t="str">
        <f t="shared" si="5"/>
        <v>KW 18</v>
      </c>
      <c r="AH5" s="7" t="str">
        <f t="shared" si="5"/>
        <v>KW 19</v>
      </c>
      <c r="AI5" s="7" t="str">
        <f t="shared" si="5"/>
        <v>KW 20</v>
      </c>
      <c r="AJ5" s="7" t="str">
        <f t="shared" si="5"/>
        <v>KW 21</v>
      </c>
      <c r="AK5" s="7" t="str">
        <f>"KW "&amp;TEXT(WEEKNUM(AK4,21),"00")</f>
        <v>KW 22</v>
      </c>
      <c r="AL5" s="7" t="str">
        <f t="shared" ref="AL5:AO5" si="6">"KW "&amp;TEXT(WEEKNUM(AL4,21),"00")</f>
        <v>KW 23</v>
      </c>
      <c r="AM5" s="7" t="str">
        <f t="shared" si="6"/>
        <v>KW 24</v>
      </c>
      <c r="AN5" s="7" t="str">
        <f t="shared" si="6"/>
        <v>KW 25</v>
      </c>
      <c r="AO5" s="7" t="str">
        <f t="shared" si="6"/>
        <v>KW 26</v>
      </c>
    </row>
    <row r="6" spans="1:41" ht="25.5">
      <c r="A6" s="8" t="s">
        <v>2</v>
      </c>
      <c r="B6" s="9" t="s">
        <v>3</v>
      </c>
      <c r="C6" s="8" t="s">
        <v>4</v>
      </c>
      <c r="D6" s="8" t="s">
        <v>5</v>
      </c>
      <c r="E6" s="8" t="s">
        <v>6</v>
      </c>
      <c r="F6" s="1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2.75" customHeight="1" thickBot="1"/>
    <row r="8" spans="1:41" ht="24" customHeight="1" thickBot="1">
      <c r="A8" s="12" t="s">
        <v>10</v>
      </c>
      <c r="B8" s="13"/>
      <c r="C8" s="13"/>
      <c r="D8" s="13"/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</row>
    <row r="9" spans="1:41" ht="24" customHeight="1" thickBot="1">
      <c r="A9" s="15" t="s">
        <v>12</v>
      </c>
      <c r="B9" s="15" t="s">
        <v>13</v>
      </c>
      <c r="C9" s="16">
        <v>0</v>
      </c>
      <c r="D9" s="17">
        <f>C3</f>
        <v>45957</v>
      </c>
      <c r="E9" s="17">
        <f>D9+13</f>
        <v>45970</v>
      </c>
      <c r="F9" s="14"/>
      <c r="G9" s="18">
        <f>IF(AND($D9&lt;=G$4+6,$E9&gt;=G$4),1,"")</f>
        <v>1</v>
      </c>
      <c r="H9" s="18">
        <f t="shared" ref="H9:W27" si="7">IF(AND($D9&lt;=H$4+6,$E9&gt;=H$4),1,"")</f>
        <v>1</v>
      </c>
      <c r="I9" s="18" t="str">
        <f t="shared" si="7"/>
        <v/>
      </c>
      <c r="J9" s="18" t="str">
        <f t="shared" si="7"/>
        <v/>
      </c>
      <c r="K9" s="18" t="str">
        <f t="shared" si="7"/>
        <v/>
      </c>
      <c r="L9" s="18" t="str">
        <f t="shared" si="7"/>
        <v/>
      </c>
      <c r="M9" s="18" t="str">
        <f t="shared" si="7"/>
        <v/>
      </c>
      <c r="N9" s="18" t="str">
        <f t="shared" si="7"/>
        <v/>
      </c>
      <c r="O9" s="18" t="str">
        <f t="shared" si="7"/>
        <v/>
      </c>
      <c r="P9" s="18" t="str">
        <f t="shared" si="7"/>
        <v/>
      </c>
      <c r="Q9" s="18" t="str">
        <f t="shared" si="7"/>
        <v/>
      </c>
      <c r="R9" s="18" t="str">
        <f t="shared" si="7"/>
        <v/>
      </c>
      <c r="S9" s="18" t="str">
        <f t="shared" si="7"/>
        <v/>
      </c>
      <c r="T9" s="18" t="str">
        <f t="shared" ref="T9:AC11" si="8">IF(AND($D9&lt;=T$4+6,$E9&gt;=T$4),1,"")</f>
        <v/>
      </c>
      <c r="U9" s="18" t="str">
        <f t="shared" si="8"/>
        <v/>
      </c>
      <c r="V9" s="18" t="str">
        <f t="shared" si="8"/>
        <v/>
      </c>
      <c r="W9" s="18" t="str">
        <f t="shared" si="8"/>
        <v/>
      </c>
      <c r="X9" s="18" t="str">
        <f t="shared" si="8"/>
        <v/>
      </c>
      <c r="Y9" s="18" t="str">
        <f t="shared" si="8"/>
        <v/>
      </c>
      <c r="Z9" s="18" t="str">
        <f t="shared" si="8"/>
        <v/>
      </c>
      <c r="AA9" s="18" t="str">
        <f t="shared" si="8"/>
        <v/>
      </c>
      <c r="AB9" s="18" t="str">
        <f t="shared" si="8"/>
        <v/>
      </c>
      <c r="AC9" s="18" t="str">
        <f t="shared" si="8"/>
        <v/>
      </c>
      <c r="AD9" s="18" t="str">
        <f t="shared" ref="AD9:AO11" si="9">IF(AND($D9&lt;=AD$4+6,$E9&gt;=AD$4),1,"")</f>
        <v/>
      </c>
      <c r="AE9" s="18" t="str">
        <f t="shared" si="9"/>
        <v/>
      </c>
      <c r="AF9" s="18" t="str">
        <f t="shared" si="9"/>
        <v/>
      </c>
      <c r="AG9" s="18" t="str">
        <f t="shared" si="9"/>
        <v/>
      </c>
      <c r="AH9" s="18" t="str">
        <f t="shared" si="9"/>
        <v/>
      </c>
      <c r="AI9" s="18" t="str">
        <f t="shared" si="9"/>
        <v/>
      </c>
      <c r="AJ9" s="18" t="str">
        <f t="shared" si="9"/>
        <v/>
      </c>
      <c r="AK9" s="18" t="str">
        <f t="shared" si="9"/>
        <v/>
      </c>
      <c r="AL9" s="18" t="str">
        <f t="shared" si="9"/>
        <v/>
      </c>
      <c r="AM9" s="18" t="str">
        <f t="shared" si="9"/>
        <v/>
      </c>
      <c r="AN9" s="18" t="str">
        <f t="shared" si="9"/>
        <v/>
      </c>
      <c r="AO9" s="18" t="str">
        <f t="shared" si="9"/>
        <v/>
      </c>
    </row>
    <row r="10" spans="1:41" ht="24" customHeight="1" thickBot="1">
      <c r="A10" s="19" t="s">
        <v>14</v>
      </c>
      <c r="B10" s="19" t="s">
        <v>15</v>
      </c>
      <c r="C10" s="16">
        <v>0</v>
      </c>
      <c r="D10" s="17">
        <f>D9</f>
        <v>45957</v>
      </c>
      <c r="E10" s="17">
        <f t="shared" ref="E10:E15" si="10">D10+6</f>
        <v>45963</v>
      </c>
      <c r="F10" s="14"/>
      <c r="G10" s="18">
        <f t="shared" ref="G10:S44" si="11">IF(AND($D10&lt;=G$4+6,$E10&gt;=G$4),1,"")</f>
        <v>1</v>
      </c>
      <c r="H10" s="18" t="str">
        <f t="shared" si="11"/>
        <v/>
      </c>
      <c r="I10" s="18" t="str">
        <f t="shared" si="11"/>
        <v/>
      </c>
      <c r="J10" s="18" t="str">
        <f t="shared" si="11"/>
        <v/>
      </c>
      <c r="K10" s="18" t="str">
        <f t="shared" si="11"/>
        <v/>
      </c>
      <c r="L10" s="18" t="str">
        <f t="shared" si="11"/>
        <v/>
      </c>
      <c r="M10" s="18" t="str">
        <f t="shared" si="11"/>
        <v/>
      </c>
      <c r="N10" s="18" t="str">
        <f t="shared" si="11"/>
        <v/>
      </c>
      <c r="O10" s="18" t="str">
        <f t="shared" si="11"/>
        <v/>
      </c>
      <c r="P10" s="18" t="str">
        <f t="shared" si="11"/>
        <v/>
      </c>
      <c r="Q10" s="18" t="str">
        <f t="shared" si="11"/>
        <v/>
      </c>
      <c r="R10" s="18" t="str">
        <f t="shared" si="11"/>
        <v/>
      </c>
      <c r="S10" s="18" t="str">
        <f t="shared" si="11"/>
        <v/>
      </c>
      <c r="T10" s="18" t="str">
        <f t="shared" si="8"/>
        <v/>
      </c>
      <c r="U10" s="18" t="str">
        <f t="shared" si="8"/>
        <v/>
      </c>
      <c r="V10" s="18" t="str">
        <f t="shared" si="8"/>
        <v/>
      </c>
      <c r="W10" s="18" t="str">
        <f t="shared" si="8"/>
        <v/>
      </c>
      <c r="X10" s="18" t="str">
        <f t="shared" si="8"/>
        <v/>
      </c>
      <c r="Y10" s="18" t="str">
        <f t="shared" si="8"/>
        <v/>
      </c>
      <c r="Z10" s="18" t="str">
        <f t="shared" si="8"/>
        <v/>
      </c>
      <c r="AA10" s="18" t="str">
        <f t="shared" si="8"/>
        <v/>
      </c>
      <c r="AB10" s="18" t="str">
        <f t="shared" si="8"/>
        <v/>
      </c>
      <c r="AC10" s="18" t="str">
        <f t="shared" si="8"/>
        <v/>
      </c>
      <c r="AD10" s="18" t="str">
        <f t="shared" si="9"/>
        <v/>
      </c>
      <c r="AE10" s="18" t="str">
        <f t="shared" si="9"/>
        <v/>
      </c>
      <c r="AF10" s="18" t="str">
        <f t="shared" si="9"/>
        <v/>
      </c>
      <c r="AG10" s="18" t="str">
        <f t="shared" si="9"/>
        <v/>
      </c>
      <c r="AH10" s="18" t="str">
        <f t="shared" si="9"/>
        <v/>
      </c>
      <c r="AI10" s="18" t="str">
        <f t="shared" si="9"/>
        <v/>
      </c>
      <c r="AJ10" s="18" t="str">
        <f t="shared" si="9"/>
        <v/>
      </c>
      <c r="AK10" s="18" t="str">
        <f t="shared" si="9"/>
        <v/>
      </c>
      <c r="AL10" s="18" t="str">
        <f t="shared" si="9"/>
        <v/>
      </c>
      <c r="AM10" s="18" t="str">
        <f t="shared" si="9"/>
        <v/>
      </c>
      <c r="AN10" s="18" t="str">
        <f t="shared" si="9"/>
        <v/>
      </c>
      <c r="AO10" s="18" t="str">
        <f t="shared" si="9"/>
        <v/>
      </c>
    </row>
    <row r="11" spans="1:41" ht="24" customHeight="1" thickBot="1">
      <c r="A11" s="19" t="s">
        <v>16</v>
      </c>
      <c r="B11" s="19" t="s">
        <v>15</v>
      </c>
      <c r="C11" s="16">
        <v>0</v>
      </c>
      <c r="D11" s="17">
        <f>E10+1</f>
        <v>45964</v>
      </c>
      <c r="E11" s="17">
        <f t="shared" si="10"/>
        <v>45970</v>
      </c>
      <c r="F11" s="14"/>
      <c r="G11" s="18" t="str">
        <f t="shared" si="11"/>
        <v/>
      </c>
      <c r="H11" s="18">
        <f t="shared" ref="H11:H16" si="12">IF(AND($D11&lt;=H$4+6,$E11&gt;=H$4),1,"")</f>
        <v>1</v>
      </c>
      <c r="I11" s="18" t="str">
        <f t="shared" si="7"/>
        <v/>
      </c>
      <c r="J11" s="18" t="str">
        <f t="shared" si="7"/>
        <v/>
      </c>
      <c r="K11" s="18" t="str">
        <f t="shared" si="7"/>
        <v/>
      </c>
      <c r="L11" s="18" t="str">
        <f t="shared" si="7"/>
        <v/>
      </c>
      <c r="M11" s="18" t="str">
        <f t="shared" si="7"/>
        <v/>
      </c>
      <c r="N11" s="18" t="str">
        <f t="shared" si="7"/>
        <v/>
      </c>
      <c r="O11" s="18" t="str">
        <f t="shared" si="7"/>
        <v/>
      </c>
      <c r="P11" s="18" t="str">
        <f t="shared" si="7"/>
        <v/>
      </c>
      <c r="Q11" s="18" t="str">
        <f t="shared" si="7"/>
        <v/>
      </c>
      <c r="R11" s="18" t="str">
        <f t="shared" si="7"/>
        <v/>
      </c>
      <c r="S11" s="18" t="str">
        <f t="shared" si="7"/>
        <v/>
      </c>
      <c r="T11" s="18" t="str">
        <f t="shared" si="8"/>
        <v/>
      </c>
      <c r="U11" s="18" t="str">
        <f t="shared" si="8"/>
        <v/>
      </c>
      <c r="V11" s="18" t="str">
        <f t="shared" si="8"/>
        <v/>
      </c>
      <c r="W11" s="18" t="str">
        <f t="shared" si="8"/>
        <v/>
      </c>
      <c r="X11" s="18" t="str">
        <f t="shared" si="8"/>
        <v/>
      </c>
      <c r="Y11" s="18" t="str">
        <f t="shared" si="8"/>
        <v/>
      </c>
      <c r="Z11" s="18" t="str">
        <f t="shared" si="8"/>
        <v/>
      </c>
      <c r="AA11" s="18" t="str">
        <f t="shared" si="8"/>
        <v/>
      </c>
      <c r="AB11" s="18" t="str">
        <f t="shared" si="8"/>
        <v/>
      </c>
      <c r="AC11" s="18" t="str">
        <f t="shared" si="8"/>
        <v/>
      </c>
      <c r="AD11" s="18" t="str">
        <f t="shared" si="9"/>
        <v/>
      </c>
      <c r="AE11" s="18" t="str">
        <f t="shared" si="9"/>
        <v/>
      </c>
      <c r="AF11" s="18" t="str">
        <f t="shared" si="9"/>
        <v/>
      </c>
      <c r="AG11" s="18" t="str">
        <f t="shared" si="9"/>
        <v/>
      </c>
      <c r="AH11" s="18" t="str">
        <f t="shared" si="9"/>
        <v/>
      </c>
      <c r="AI11" s="18" t="str">
        <f t="shared" si="9"/>
        <v/>
      </c>
      <c r="AJ11" s="18" t="str">
        <f t="shared" si="9"/>
        <v/>
      </c>
      <c r="AK11" s="18" t="str">
        <f t="shared" si="9"/>
        <v/>
      </c>
      <c r="AL11" s="18" t="str">
        <f t="shared" si="9"/>
        <v/>
      </c>
      <c r="AM11" s="18" t="str">
        <f t="shared" si="9"/>
        <v/>
      </c>
      <c r="AN11" s="18" t="str">
        <f t="shared" si="9"/>
        <v/>
      </c>
      <c r="AO11" s="18" t="str">
        <f t="shared" si="9"/>
        <v/>
      </c>
    </row>
    <row r="12" spans="1:41" ht="24" customHeight="1" thickBot="1">
      <c r="A12" s="19" t="s">
        <v>21</v>
      </c>
      <c r="B12" s="19" t="s">
        <v>15</v>
      </c>
      <c r="C12" s="16">
        <v>0</v>
      </c>
      <c r="D12" s="17">
        <f>E11+1</f>
        <v>45971</v>
      </c>
      <c r="E12" s="17">
        <f t="shared" si="10"/>
        <v>45977</v>
      </c>
      <c r="F12" s="14"/>
      <c r="G12" s="18" t="str">
        <f t="shared" si="11"/>
        <v/>
      </c>
      <c r="H12" s="18" t="str">
        <f t="shared" si="12"/>
        <v/>
      </c>
      <c r="I12" s="18">
        <f t="shared" si="7"/>
        <v>1</v>
      </c>
      <c r="J12" s="18" t="str">
        <f t="shared" si="7"/>
        <v/>
      </c>
      <c r="K12" s="18" t="str">
        <f t="shared" si="7"/>
        <v/>
      </c>
      <c r="L12" s="18" t="str">
        <f t="shared" si="7"/>
        <v/>
      </c>
      <c r="M12" s="18" t="str">
        <f t="shared" si="7"/>
        <v/>
      </c>
      <c r="N12" s="18" t="str">
        <f t="shared" si="7"/>
        <v/>
      </c>
      <c r="O12" s="18" t="str">
        <f t="shared" si="7"/>
        <v/>
      </c>
      <c r="P12" s="18" t="str">
        <f t="shared" si="7"/>
        <v/>
      </c>
      <c r="Q12" s="18" t="str">
        <f t="shared" si="7"/>
        <v/>
      </c>
      <c r="R12" s="18" t="str">
        <f t="shared" si="7"/>
        <v/>
      </c>
      <c r="S12" s="18" t="str">
        <f t="shared" si="7"/>
        <v/>
      </c>
      <c r="T12" s="18" t="str">
        <f t="shared" ref="T12:AH12" si="13">IF(AND($D12&lt;=T$4+6,$E12&gt;=T$4),1,"")</f>
        <v/>
      </c>
      <c r="U12" s="18" t="str">
        <f t="shared" si="13"/>
        <v/>
      </c>
      <c r="V12" s="18" t="str">
        <f t="shared" si="13"/>
        <v/>
      </c>
      <c r="W12" s="18" t="str">
        <f t="shared" si="13"/>
        <v/>
      </c>
      <c r="X12" s="18" t="str">
        <f t="shared" si="13"/>
        <v/>
      </c>
      <c r="Y12" s="18" t="str">
        <f t="shared" si="13"/>
        <v/>
      </c>
      <c r="Z12" s="18" t="str">
        <f t="shared" si="13"/>
        <v/>
      </c>
      <c r="AA12" s="18" t="str">
        <f t="shared" si="13"/>
        <v/>
      </c>
      <c r="AB12" s="18" t="str">
        <f t="shared" si="13"/>
        <v/>
      </c>
      <c r="AC12" s="18" t="str">
        <f t="shared" si="13"/>
        <v/>
      </c>
      <c r="AD12" s="18" t="str">
        <f t="shared" si="13"/>
        <v/>
      </c>
      <c r="AE12" s="18" t="str">
        <f t="shared" si="13"/>
        <v/>
      </c>
      <c r="AF12" s="18" t="str">
        <f t="shared" si="13"/>
        <v/>
      </c>
      <c r="AG12" s="18" t="str">
        <f t="shared" si="13"/>
        <v/>
      </c>
      <c r="AH12" s="18" t="str">
        <f t="shared" si="13"/>
        <v/>
      </c>
      <c r="AI12" s="18"/>
      <c r="AJ12" s="18"/>
      <c r="AK12" s="18"/>
      <c r="AL12" s="18"/>
      <c r="AM12" s="18"/>
      <c r="AN12" s="18"/>
      <c r="AO12" s="18"/>
    </row>
    <row r="13" spans="1:41" ht="24" customHeight="1" thickBot="1">
      <c r="A13" s="19" t="s">
        <v>38</v>
      </c>
      <c r="B13" s="19" t="s">
        <v>15</v>
      </c>
      <c r="C13" s="16">
        <v>0</v>
      </c>
      <c r="D13" s="17">
        <f>E12+1</f>
        <v>45978</v>
      </c>
      <c r="E13" s="17">
        <f t="shared" si="10"/>
        <v>45984</v>
      </c>
      <c r="F13" s="14"/>
      <c r="G13" s="18" t="str">
        <f t="shared" si="11"/>
        <v/>
      </c>
      <c r="H13" s="18" t="str">
        <f t="shared" si="12"/>
        <v/>
      </c>
      <c r="I13" s="18" t="str">
        <f t="shared" si="7"/>
        <v/>
      </c>
      <c r="J13" s="18">
        <f t="shared" si="7"/>
        <v>1</v>
      </c>
      <c r="K13" s="18" t="str">
        <f t="shared" si="7"/>
        <v/>
      </c>
      <c r="L13" s="18" t="str">
        <f t="shared" si="7"/>
        <v/>
      </c>
      <c r="M13" s="18" t="str">
        <f t="shared" si="7"/>
        <v/>
      </c>
      <c r="N13" s="18" t="str">
        <f t="shared" si="7"/>
        <v/>
      </c>
      <c r="O13" s="18" t="str">
        <f t="shared" si="7"/>
        <v/>
      </c>
      <c r="P13" s="18" t="str">
        <f t="shared" si="7"/>
        <v/>
      </c>
      <c r="Q13" s="18" t="str">
        <f t="shared" si="7"/>
        <v/>
      </c>
      <c r="R13" s="18" t="str">
        <f t="shared" si="7"/>
        <v/>
      </c>
      <c r="S13" s="18" t="str">
        <f t="shared" ref="S13" si="14">IF(AND($D13&lt;=S$4+6,$E13&gt;=S$4),1,"")</f>
        <v/>
      </c>
      <c r="T13" s="18" t="str">
        <f t="shared" ref="T13:AD16" si="15">IF(AND($D13&lt;=T$4+6,$E13&gt;=T$4),1,"")</f>
        <v/>
      </c>
      <c r="U13" s="18" t="str">
        <f t="shared" si="15"/>
        <v/>
      </c>
      <c r="V13" s="18" t="str">
        <f t="shared" si="15"/>
        <v/>
      </c>
      <c r="W13" s="18" t="str">
        <f t="shared" si="15"/>
        <v/>
      </c>
      <c r="X13" s="18" t="str">
        <f t="shared" si="15"/>
        <v/>
      </c>
      <c r="Y13" s="18" t="str">
        <f t="shared" si="15"/>
        <v/>
      </c>
      <c r="Z13" s="18" t="str">
        <f t="shared" si="15"/>
        <v/>
      </c>
      <c r="AA13" s="18" t="str">
        <f t="shared" si="15"/>
        <v/>
      </c>
      <c r="AB13" s="18" t="str">
        <f t="shared" si="15"/>
        <v/>
      </c>
      <c r="AC13" s="18" t="str">
        <f t="shared" si="15"/>
        <v/>
      </c>
      <c r="AD13" s="18" t="str">
        <f t="shared" si="15"/>
        <v/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spans="1:41" ht="24" customHeight="1" thickBot="1">
      <c r="A14" s="19" t="s">
        <v>17</v>
      </c>
      <c r="B14" s="19" t="s">
        <v>18</v>
      </c>
      <c r="C14" s="16">
        <v>0</v>
      </c>
      <c r="D14" s="17">
        <f>E9+1</f>
        <v>45971</v>
      </c>
      <c r="E14" s="17">
        <f t="shared" si="10"/>
        <v>45977</v>
      </c>
      <c r="F14" s="14"/>
      <c r="G14" s="18" t="str">
        <f>IF(AND($D14&lt;=G$4+6,$E14&gt;=G$4),1,"")</f>
        <v/>
      </c>
      <c r="H14" s="18" t="str">
        <f t="shared" si="12"/>
        <v/>
      </c>
      <c r="I14" s="18">
        <f t="shared" si="7"/>
        <v>1</v>
      </c>
      <c r="J14" s="18" t="str">
        <f t="shared" si="7"/>
        <v/>
      </c>
      <c r="K14" s="18" t="str">
        <f t="shared" si="7"/>
        <v/>
      </c>
      <c r="L14" s="18" t="str">
        <f t="shared" si="7"/>
        <v/>
      </c>
      <c r="M14" s="18" t="str">
        <f t="shared" si="7"/>
        <v/>
      </c>
      <c r="N14" s="18" t="str">
        <f t="shared" si="7"/>
        <v/>
      </c>
      <c r="O14" s="18" t="str">
        <f t="shared" si="7"/>
        <v/>
      </c>
      <c r="P14" s="18" t="str">
        <f t="shared" si="7"/>
        <v/>
      </c>
      <c r="Q14" s="18" t="str">
        <f t="shared" si="7"/>
        <v/>
      </c>
      <c r="R14" s="18" t="str">
        <f t="shared" si="7"/>
        <v/>
      </c>
      <c r="S14" s="18" t="str">
        <f t="shared" si="7"/>
        <v/>
      </c>
      <c r="T14" s="18" t="str">
        <f t="shared" si="15"/>
        <v/>
      </c>
      <c r="U14" s="18" t="str">
        <f t="shared" si="15"/>
        <v/>
      </c>
      <c r="V14" s="18" t="str">
        <f t="shared" si="15"/>
        <v/>
      </c>
      <c r="W14" s="18" t="str">
        <f t="shared" si="15"/>
        <v/>
      </c>
      <c r="X14" s="18" t="str">
        <f t="shared" si="15"/>
        <v/>
      </c>
      <c r="Y14" s="18" t="str">
        <f t="shared" si="15"/>
        <v/>
      </c>
      <c r="Z14" s="18" t="str">
        <f t="shared" si="15"/>
        <v/>
      </c>
      <c r="AA14" s="18" t="str">
        <f t="shared" si="15"/>
        <v/>
      </c>
      <c r="AB14" s="18" t="str">
        <f t="shared" si="15"/>
        <v/>
      </c>
      <c r="AC14" s="18" t="str">
        <f t="shared" si="15"/>
        <v/>
      </c>
      <c r="AD14" s="18" t="str">
        <f t="shared" si="15"/>
        <v/>
      </c>
      <c r="AE14" s="18" t="str">
        <f t="shared" ref="AE14:AO14" si="16">IF(AND($D14&lt;=AE$4+6,$E14&gt;=AE$4),1,"")</f>
        <v/>
      </c>
      <c r="AF14" s="18" t="str">
        <f t="shared" si="16"/>
        <v/>
      </c>
      <c r="AG14" s="18" t="str">
        <f t="shared" si="16"/>
        <v/>
      </c>
      <c r="AH14" s="18" t="str">
        <f t="shared" si="16"/>
        <v/>
      </c>
      <c r="AI14" s="18" t="str">
        <f t="shared" si="16"/>
        <v/>
      </c>
      <c r="AJ14" s="18" t="str">
        <f t="shared" si="16"/>
        <v/>
      </c>
      <c r="AK14" s="18" t="str">
        <f t="shared" si="16"/>
        <v/>
      </c>
      <c r="AL14" s="18" t="str">
        <f t="shared" si="16"/>
        <v/>
      </c>
      <c r="AM14" s="18" t="str">
        <f t="shared" si="16"/>
        <v/>
      </c>
      <c r="AN14" s="18" t="str">
        <f t="shared" si="16"/>
        <v/>
      </c>
      <c r="AO14" s="18" t="str">
        <f t="shared" si="16"/>
        <v/>
      </c>
    </row>
    <row r="15" spans="1:41" ht="24" customHeight="1" thickBot="1">
      <c r="A15" s="19" t="s">
        <v>22</v>
      </c>
      <c r="B15" s="19" t="s">
        <v>18</v>
      </c>
      <c r="C15" s="16">
        <v>0</v>
      </c>
      <c r="D15" s="17">
        <f>E14+1</f>
        <v>45978</v>
      </c>
      <c r="E15" s="17">
        <f t="shared" si="10"/>
        <v>45984</v>
      </c>
      <c r="F15" s="14"/>
      <c r="G15" s="18" t="str">
        <f>IF(AND($D15&lt;=G$4+6,$E15&gt;=G$4),1,"")</f>
        <v/>
      </c>
      <c r="H15" s="18" t="str">
        <f t="shared" si="12"/>
        <v/>
      </c>
      <c r="I15" s="18" t="str">
        <f t="shared" ref="I15:S15" si="17">IF(AND($D15&lt;=I$4+6,$E15&gt;=I$4),1,"")</f>
        <v/>
      </c>
      <c r="J15" s="18">
        <f t="shared" si="17"/>
        <v>1</v>
      </c>
      <c r="K15" s="18" t="str">
        <f t="shared" si="17"/>
        <v/>
      </c>
      <c r="L15" s="18" t="str">
        <f t="shared" si="17"/>
        <v/>
      </c>
      <c r="M15" s="18" t="str">
        <f t="shared" si="17"/>
        <v/>
      </c>
      <c r="N15" s="18" t="str">
        <f t="shared" si="17"/>
        <v/>
      </c>
      <c r="O15" s="18" t="str">
        <f t="shared" si="17"/>
        <v/>
      </c>
      <c r="P15" s="18" t="str">
        <f t="shared" si="17"/>
        <v/>
      </c>
      <c r="Q15" s="18" t="str">
        <f t="shared" si="17"/>
        <v/>
      </c>
      <c r="R15" s="18" t="str">
        <f t="shared" si="17"/>
        <v/>
      </c>
      <c r="S15" s="18" t="str">
        <f t="shared" si="17"/>
        <v/>
      </c>
      <c r="T15" s="18" t="str">
        <f t="shared" si="15"/>
        <v/>
      </c>
      <c r="U15" s="18" t="str">
        <f t="shared" si="15"/>
        <v/>
      </c>
      <c r="V15" s="18" t="str">
        <f t="shared" si="15"/>
        <v/>
      </c>
      <c r="W15" s="18" t="str">
        <f t="shared" si="15"/>
        <v/>
      </c>
      <c r="X15" s="18" t="str">
        <f t="shared" si="15"/>
        <v/>
      </c>
      <c r="Y15" s="18" t="str">
        <f t="shared" si="15"/>
        <v/>
      </c>
      <c r="Z15" s="18" t="str">
        <f t="shared" si="15"/>
        <v/>
      </c>
      <c r="AA15" s="18" t="str">
        <f t="shared" si="15"/>
        <v/>
      </c>
      <c r="AB15" s="18" t="str">
        <f t="shared" si="15"/>
        <v/>
      </c>
      <c r="AC15" s="18" t="str">
        <f t="shared" si="15"/>
        <v/>
      </c>
      <c r="AD15" s="18" t="str">
        <f t="shared" si="15"/>
        <v/>
      </c>
      <c r="AE15" s="18" t="str">
        <f t="shared" ref="AE15:AH16" si="18">IF(AND($D15&lt;=AE$4+6,$E15&gt;=AE$4),1,"")</f>
        <v/>
      </c>
      <c r="AF15" s="18" t="str">
        <f t="shared" si="18"/>
        <v/>
      </c>
      <c r="AG15" s="18" t="str">
        <f t="shared" si="18"/>
        <v/>
      </c>
      <c r="AH15" s="18" t="str">
        <f t="shared" si="18"/>
        <v/>
      </c>
      <c r="AI15" s="18"/>
      <c r="AJ15" s="18"/>
      <c r="AK15" s="18"/>
      <c r="AL15" s="18"/>
      <c r="AM15" s="18"/>
      <c r="AN15" s="18"/>
      <c r="AO15" s="18"/>
    </row>
    <row r="16" spans="1:41" ht="24" customHeight="1" thickBot="1">
      <c r="A16" s="19" t="s">
        <v>19</v>
      </c>
      <c r="B16" s="19" t="s">
        <v>20</v>
      </c>
      <c r="C16" s="16">
        <v>0</v>
      </c>
      <c r="D16" s="17">
        <f>Startdatum</f>
        <v>45957</v>
      </c>
      <c r="E16" s="17">
        <f>D16+13</f>
        <v>45970</v>
      </c>
      <c r="F16" s="14"/>
      <c r="G16" s="18">
        <f>IF(AND($D16&lt;=G$4+6,$E16&gt;=G$4),1,"")</f>
        <v>1</v>
      </c>
      <c r="H16" s="18">
        <f t="shared" si="12"/>
        <v>1</v>
      </c>
      <c r="I16" s="18" t="str">
        <f t="shared" si="7"/>
        <v/>
      </c>
      <c r="J16" s="18" t="str">
        <f t="shared" si="7"/>
        <v/>
      </c>
      <c r="K16" s="18" t="str">
        <f t="shared" si="7"/>
        <v/>
      </c>
      <c r="L16" s="18" t="str">
        <f t="shared" si="7"/>
        <v/>
      </c>
      <c r="M16" s="18" t="str">
        <f t="shared" si="7"/>
        <v/>
      </c>
      <c r="N16" s="18" t="str">
        <f t="shared" si="7"/>
        <v/>
      </c>
      <c r="O16" s="18" t="str">
        <f t="shared" si="7"/>
        <v/>
      </c>
      <c r="P16" s="18" t="str">
        <f t="shared" si="7"/>
        <v/>
      </c>
      <c r="Q16" s="18" t="str">
        <f t="shared" si="7"/>
        <v/>
      </c>
      <c r="R16" s="18" t="str">
        <f t="shared" si="7"/>
        <v/>
      </c>
      <c r="S16" s="18" t="str">
        <f t="shared" si="7"/>
        <v/>
      </c>
      <c r="T16" s="18" t="str">
        <f t="shared" si="15"/>
        <v/>
      </c>
      <c r="U16" s="18" t="str">
        <f t="shared" si="15"/>
        <v/>
      </c>
      <c r="V16" s="18" t="str">
        <f t="shared" si="15"/>
        <v/>
      </c>
      <c r="W16" s="18" t="str">
        <f t="shared" si="15"/>
        <v/>
      </c>
      <c r="X16" s="18" t="str">
        <f t="shared" si="15"/>
        <v/>
      </c>
      <c r="Y16" s="18" t="str">
        <f t="shared" si="15"/>
        <v/>
      </c>
      <c r="Z16" s="18" t="str">
        <f t="shared" si="15"/>
        <v/>
      </c>
      <c r="AA16" s="18" t="str">
        <f t="shared" si="15"/>
        <v/>
      </c>
      <c r="AB16" s="18" t="str">
        <f t="shared" si="15"/>
        <v/>
      </c>
      <c r="AC16" s="18" t="str">
        <f t="shared" si="15"/>
        <v/>
      </c>
      <c r="AD16" s="18" t="str">
        <f t="shared" si="15"/>
        <v/>
      </c>
      <c r="AE16" s="18" t="str">
        <f t="shared" si="18"/>
        <v/>
      </c>
      <c r="AF16" s="18" t="str">
        <f t="shared" si="18"/>
        <v/>
      </c>
      <c r="AG16" s="18" t="str">
        <f t="shared" si="18"/>
        <v/>
      </c>
      <c r="AH16" s="18" t="str">
        <f t="shared" si="18"/>
        <v/>
      </c>
      <c r="AI16" s="18" t="str">
        <f t="shared" ref="AI16:AO16" si="19">IF(AND($D16&lt;=AI$4+6,$E16&gt;=AI$4),1,"")</f>
        <v/>
      </c>
      <c r="AJ16" s="18" t="str">
        <f t="shared" si="19"/>
        <v/>
      </c>
      <c r="AK16" s="18" t="str">
        <f t="shared" si="19"/>
        <v/>
      </c>
      <c r="AL16" s="18" t="str">
        <f t="shared" si="19"/>
        <v/>
      </c>
      <c r="AM16" s="18" t="str">
        <f t="shared" si="19"/>
        <v/>
      </c>
      <c r="AN16" s="18" t="str">
        <f t="shared" si="19"/>
        <v/>
      </c>
      <c r="AO16" s="18" t="str">
        <f t="shared" si="19"/>
        <v/>
      </c>
    </row>
    <row r="17" spans="1:41" ht="24" customHeight="1" thickBot="1">
      <c r="A17" s="19" t="s">
        <v>23</v>
      </c>
      <c r="B17" s="19" t="s">
        <v>20</v>
      </c>
      <c r="C17" s="16">
        <v>0</v>
      </c>
      <c r="D17" s="17">
        <f>E16+1</f>
        <v>45971</v>
      </c>
      <c r="E17" s="17">
        <f>D17+13</f>
        <v>45984</v>
      </c>
      <c r="F17" s="14"/>
      <c r="G17" s="18" t="str">
        <f t="shared" ref="G17:H26" si="20">IF(AND($D17&lt;=G$4+6,$E17&gt;=G$4),1,"")</f>
        <v/>
      </c>
      <c r="H17" s="18" t="str">
        <f t="shared" si="20"/>
        <v/>
      </c>
      <c r="I17" s="18">
        <f t="shared" si="7"/>
        <v>1</v>
      </c>
      <c r="J17" s="18">
        <f t="shared" si="7"/>
        <v>1</v>
      </c>
      <c r="K17" s="18" t="str">
        <f t="shared" si="7"/>
        <v/>
      </c>
      <c r="L17" s="18" t="str">
        <f t="shared" si="7"/>
        <v/>
      </c>
      <c r="M17" s="18" t="str">
        <f t="shared" si="7"/>
        <v/>
      </c>
      <c r="N17" s="18" t="str">
        <f t="shared" si="7"/>
        <v/>
      </c>
      <c r="O17" s="18" t="str">
        <f t="shared" si="7"/>
        <v/>
      </c>
      <c r="P17" s="18" t="str">
        <f t="shared" si="7"/>
        <v/>
      </c>
      <c r="Q17" s="18" t="str">
        <f t="shared" si="7"/>
        <v/>
      </c>
      <c r="R17" s="18" t="str">
        <f t="shared" si="7"/>
        <v/>
      </c>
      <c r="S17" s="18" t="str">
        <f t="shared" si="7"/>
        <v/>
      </c>
      <c r="T17" s="18" t="str">
        <f t="shared" si="7"/>
        <v/>
      </c>
      <c r="U17" s="18" t="str">
        <f t="shared" si="7"/>
        <v/>
      </c>
      <c r="V17" s="18" t="str">
        <f t="shared" si="7"/>
        <v/>
      </c>
      <c r="W17" s="18" t="str">
        <f t="shared" si="7"/>
        <v/>
      </c>
      <c r="X17" s="18" t="str">
        <f t="shared" ref="X17:AJ26" si="21">IF(AND($D17&lt;=X$4+6,$E17&gt;=X$4),1,"")</f>
        <v/>
      </c>
      <c r="Y17" s="18" t="str">
        <f t="shared" si="21"/>
        <v/>
      </c>
      <c r="Z17" s="18" t="str">
        <f t="shared" si="21"/>
        <v/>
      </c>
      <c r="AA17" s="18" t="str">
        <f t="shared" si="21"/>
        <v/>
      </c>
      <c r="AB17" s="18" t="str">
        <f t="shared" si="21"/>
        <v/>
      </c>
      <c r="AC17" s="18" t="str">
        <f t="shared" si="21"/>
        <v/>
      </c>
      <c r="AD17" s="18" t="str">
        <f t="shared" si="21"/>
        <v/>
      </c>
      <c r="AE17" s="18" t="str">
        <f t="shared" si="21"/>
        <v/>
      </c>
      <c r="AF17" s="18" t="str">
        <f t="shared" si="21"/>
        <v/>
      </c>
      <c r="AG17" s="18" t="str">
        <f t="shared" si="21"/>
        <v/>
      </c>
      <c r="AH17" s="18" t="str">
        <f t="shared" si="21"/>
        <v/>
      </c>
      <c r="AI17" s="18" t="str">
        <f t="shared" si="21"/>
        <v/>
      </c>
      <c r="AJ17" s="18" t="str">
        <f t="shared" si="21"/>
        <v/>
      </c>
      <c r="AK17" s="18"/>
      <c r="AL17" s="18"/>
      <c r="AM17" s="18"/>
      <c r="AN17" s="18"/>
      <c r="AO17" s="18"/>
    </row>
    <row r="18" spans="1:41" ht="24" customHeight="1" thickBot="1">
      <c r="A18" s="19" t="s">
        <v>28</v>
      </c>
      <c r="B18" s="19" t="s">
        <v>25</v>
      </c>
      <c r="C18" s="16">
        <v>0</v>
      </c>
      <c r="D18" s="17">
        <f>Startdatum</f>
        <v>45957</v>
      </c>
      <c r="E18" s="17">
        <f t="shared" ref="E18:E23" si="22">D18+6</f>
        <v>45963</v>
      </c>
      <c r="F18" s="14"/>
      <c r="G18" s="18">
        <f t="shared" ref="G18:P19" si="23">IF(AND($D18&lt;=G$4+6,$E18&gt;=G$4),1,"")</f>
        <v>1</v>
      </c>
      <c r="H18" s="18" t="str">
        <f t="shared" si="23"/>
        <v/>
      </c>
      <c r="I18" s="18" t="str">
        <f t="shared" si="23"/>
        <v/>
      </c>
      <c r="J18" s="18" t="str">
        <f t="shared" si="23"/>
        <v/>
      </c>
      <c r="K18" s="18" t="str">
        <f t="shared" si="23"/>
        <v/>
      </c>
      <c r="L18" s="18" t="str">
        <f t="shared" si="23"/>
        <v/>
      </c>
      <c r="M18" s="18" t="str">
        <f t="shared" si="23"/>
        <v/>
      </c>
      <c r="N18" s="18" t="str">
        <f t="shared" si="23"/>
        <v/>
      </c>
      <c r="O18" s="18" t="str">
        <f t="shared" si="23"/>
        <v/>
      </c>
      <c r="P18" s="18" t="str">
        <f t="shared" si="23"/>
        <v/>
      </c>
      <c r="Q18" s="18" t="str">
        <f t="shared" si="7"/>
        <v/>
      </c>
      <c r="R18" s="18" t="str">
        <f t="shared" si="7"/>
        <v/>
      </c>
      <c r="S18" s="18" t="str">
        <f t="shared" si="7"/>
        <v/>
      </c>
      <c r="T18" s="18" t="str">
        <f t="shared" si="7"/>
        <v/>
      </c>
      <c r="U18" s="18" t="str">
        <f t="shared" si="7"/>
        <v/>
      </c>
      <c r="V18" s="18" t="str">
        <f t="shared" si="7"/>
        <v/>
      </c>
      <c r="W18" s="18" t="str">
        <f t="shared" si="7"/>
        <v/>
      </c>
      <c r="X18" s="18" t="str">
        <f t="shared" si="21"/>
        <v/>
      </c>
      <c r="Y18" s="18" t="str">
        <f t="shared" si="21"/>
        <v/>
      </c>
      <c r="Z18" s="18" t="str">
        <f t="shared" si="21"/>
        <v/>
      </c>
      <c r="AA18" s="18" t="str">
        <f t="shared" si="21"/>
        <v/>
      </c>
      <c r="AB18" s="18" t="str">
        <f t="shared" si="21"/>
        <v/>
      </c>
      <c r="AC18" s="18" t="str">
        <f t="shared" si="21"/>
        <v/>
      </c>
      <c r="AD18" s="18" t="str">
        <f t="shared" si="21"/>
        <v/>
      </c>
      <c r="AE18" s="18" t="str">
        <f t="shared" si="21"/>
        <v/>
      </c>
      <c r="AF18" s="18" t="str">
        <f t="shared" si="21"/>
        <v/>
      </c>
      <c r="AG18" s="18" t="str">
        <f t="shared" si="21"/>
        <v/>
      </c>
      <c r="AH18" s="18" t="str">
        <f t="shared" si="21"/>
        <v/>
      </c>
      <c r="AI18" s="18" t="str">
        <f t="shared" si="21"/>
        <v/>
      </c>
      <c r="AJ18" s="18" t="str">
        <f t="shared" si="21"/>
        <v/>
      </c>
      <c r="AK18" s="18"/>
      <c r="AL18" s="18"/>
      <c r="AM18" s="18"/>
      <c r="AN18" s="18"/>
      <c r="AO18" s="18"/>
    </row>
    <row r="19" spans="1:41" ht="24" customHeight="1" thickBot="1">
      <c r="A19" s="19" t="s">
        <v>29</v>
      </c>
      <c r="B19" s="19" t="s">
        <v>25</v>
      </c>
      <c r="C19" s="16">
        <v>0</v>
      </c>
      <c r="D19" s="17">
        <f>E18+1</f>
        <v>45964</v>
      </c>
      <c r="E19" s="17">
        <f t="shared" si="22"/>
        <v>45970</v>
      </c>
      <c r="F19" s="14"/>
      <c r="G19" s="18" t="str">
        <f t="shared" si="23"/>
        <v/>
      </c>
      <c r="H19" s="18">
        <f t="shared" si="23"/>
        <v>1</v>
      </c>
      <c r="I19" s="18" t="str">
        <f t="shared" si="23"/>
        <v/>
      </c>
      <c r="J19" s="18" t="str">
        <f t="shared" si="23"/>
        <v/>
      </c>
      <c r="K19" s="18" t="str">
        <f t="shared" si="23"/>
        <v/>
      </c>
      <c r="L19" s="18" t="str">
        <f t="shared" si="23"/>
        <v/>
      </c>
      <c r="M19" s="18" t="str">
        <f t="shared" si="23"/>
        <v/>
      </c>
      <c r="N19" s="18" t="str">
        <f t="shared" si="23"/>
        <v/>
      </c>
      <c r="O19" s="18" t="str">
        <f t="shared" si="23"/>
        <v/>
      </c>
      <c r="P19" s="18" t="str">
        <f t="shared" si="23"/>
        <v/>
      </c>
      <c r="Q19" s="18" t="str">
        <f t="shared" si="7"/>
        <v/>
      </c>
      <c r="R19" s="18" t="str">
        <f t="shared" si="7"/>
        <v/>
      </c>
      <c r="S19" s="18" t="str">
        <f t="shared" si="7"/>
        <v/>
      </c>
      <c r="T19" s="18" t="str">
        <f t="shared" si="7"/>
        <v/>
      </c>
      <c r="U19" s="18" t="str">
        <f t="shared" si="7"/>
        <v/>
      </c>
      <c r="V19" s="18" t="str">
        <f t="shared" si="7"/>
        <v/>
      </c>
      <c r="W19" s="18" t="str">
        <f t="shared" si="7"/>
        <v/>
      </c>
      <c r="X19" s="18" t="str">
        <f t="shared" si="21"/>
        <v/>
      </c>
      <c r="Y19" s="18" t="str">
        <f t="shared" si="21"/>
        <v/>
      </c>
      <c r="Z19" s="18" t="str">
        <f t="shared" si="21"/>
        <v/>
      </c>
      <c r="AA19" s="18" t="str">
        <f t="shared" si="21"/>
        <v/>
      </c>
      <c r="AB19" s="18" t="str">
        <f t="shared" si="21"/>
        <v/>
      </c>
      <c r="AC19" s="18" t="str">
        <f t="shared" si="21"/>
        <v/>
      </c>
      <c r="AD19" s="18" t="str">
        <f t="shared" si="21"/>
        <v/>
      </c>
      <c r="AE19" s="18" t="str">
        <f t="shared" si="21"/>
        <v/>
      </c>
      <c r="AF19" s="18" t="str">
        <f t="shared" si="21"/>
        <v/>
      </c>
      <c r="AG19" s="18" t="str">
        <f t="shared" si="21"/>
        <v/>
      </c>
      <c r="AH19" s="18" t="str">
        <f t="shared" si="21"/>
        <v/>
      </c>
      <c r="AI19" s="18" t="str">
        <f t="shared" si="21"/>
        <v/>
      </c>
      <c r="AJ19" s="18" t="str">
        <f t="shared" si="21"/>
        <v/>
      </c>
      <c r="AK19" s="18"/>
      <c r="AL19" s="18"/>
      <c r="AM19" s="18"/>
      <c r="AN19" s="18"/>
      <c r="AO19" s="18"/>
    </row>
    <row r="20" spans="1:41" ht="24" customHeight="1" thickBot="1">
      <c r="A20" s="19" t="s">
        <v>24</v>
      </c>
      <c r="B20" s="19" t="s">
        <v>25</v>
      </c>
      <c r="C20" s="16">
        <v>0</v>
      </c>
      <c r="D20" s="17">
        <f>E14+1</f>
        <v>45978</v>
      </c>
      <c r="E20" s="17">
        <f t="shared" si="22"/>
        <v>45984</v>
      </c>
      <c r="F20" s="14"/>
      <c r="G20" s="18" t="str">
        <f t="shared" si="20"/>
        <v/>
      </c>
      <c r="H20" s="18" t="str">
        <f t="shared" si="20"/>
        <v/>
      </c>
      <c r="I20" s="18" t="str">
        <f t="shared" si="7"/>
        <v/>
      </c>
      <c r="J20" s="18">
        <f t="shared" si="7"/>
        <v>1</v>
      </c>
      <c r="K20" s="18" t="str">
        <f t="shared" si="7"/>
        <v/>
      </c>
      <c r="L20" s="18" t="str">
        <f t="shared" si="7"/>
        <v/>
      </c>
      <c r="M20" s="18" t="str">
        <f t="shared" si="7"/>
        <v/>
      </c>
      <c r="N20" s="18" t="str">
        <f t="shared" si="7"/>
        <v/>
      </c>
      <c r="O20" s="18" t="str">
        <f t="shared" si="7"/>
        <v/>
      </c>
      <c r="P20" s="18" t="str">
        <f t="shared" si="7"/>
        <v/>
      </c>
      <c r="Q20" s="18" t="str">
        <f t="shared" si="7"/>
        <v/>
      </c>
      <c r="R20" s="18" t="str">
        <f t="shared" si="7"/>
        <v/>
      </c>
      <c r="S20" s="18" t="str">
        <f t="shared" si="7"/>
        <v/>
      </c>
      <c r="T20" s="18" t="str">
        <f t="shared" si="7"/>
        <v/>
      </c>
      <c r="U20" s="18" t="str">
        <f t="shared" si="7"/>
        <v/>
      </c>
      <c r="V20" s="18" t="str">
        <f t="shared" si="7"/>
        <v/>
      </c>
      <c r="W20" s="18" t="str">
        <f t="shared" si="7"/>
        <v/>
      </c>
      <c r="X20" s="18" t="str">
        <f t="shared" si="21"/>
        <v/>
      </c>
      <c r="Y20" s="18" t="str">
        <f t="shared" si="21"/>
        <v/>
      </c>
      <c r="Z20" s="18" t="str">
        <f t="shared" si="21"/>
        <v/>
      </c>
      <c r="AA20" s="18" t="str">
        <f t="shared" si="21"/>
        <v/>
      </c>
      <c r="AB20" s="18" t="str">
        <f t="shared" si="21"/>
        <v/>
      </c>
      <c r="AC20" s="18" t="str">
        <f t="shared" si="21"/>
        <v/>
      </c>
      <c r="AD20" s="18" t="str">
        <f t="shared" si="21"/>
        <v/>
      </c>
      <c r="AE20" s="18" t="str">
        <f t="shared" si="21"/>
        <v/>
      </c>
      <c r="AF20" s="18" t="str">
        <f t="shared" si="21"/>
        <v/>
      </c>
      <c r="AG20" s="18" t="str">
        <f t="shared" si="21"/>
        <v/>
      </c>
      <c r="AH20" s="18" t="str">
        <f t="shared" si="21"/>
        <v/>
      </c>
      <c r="AI20" s="18" t="str">
        <f t="shared" si="21"/>
        <v/>
      </c>
      <c r="AJ20" s="18" t="str">
        <f t="shared" si="21"/>
        <v/>
      </c>
      <c r="AK20" s="18"/>
      <c r="AL20" s="18"/>
      <c r="AM20" s="18"/>
      <c r="AN20" s="18"/>
      <c r="AO20" s="18"/>
    </row>
    <row r="21" spans="1:41" ht="24" customHeight="1" thickBot="1">
      <c r="A21" s="19" t="s">
        <v>26</v>
      </c>
      <c r="B21" s="19" t="s">
        <v>25</v>
      </c>
      <c r="C21" s="16">
        <v>0</v>
      </c>
      <c r="D21" s="17">
        <f>E14+1</f>
        <v>45978</v>
      </c>
      <c r="E21" s="17">
        <f t="shared" si="22"/>
        <v>45984</v>
      </c>
      <c r="F21" s="14"/>
      <c r="G21" s="18" t="str">
        <f t="shared" si="20"/>
        <v/>
      </c>
      <c r="H21" s="18" t="str">
        <f t="shared" si="20"/>
        <v/>
      </c>
      <c r="I21" s="18" t="str">
        <f t="shared" si="7"/>
        <v/>
      </c>
      <c r="J21" s="18">
        <f t="shared" si="7"/>
        <v>1</v>
      </c>
      <c r="K21" s="18" t="str">
        <f t="shared" si="7"/>
        <v/>
      </c>
      <c r="L21" s="18" t="str">
        <f t="shared" si="7"/>
        <v/>
      </c>
      <c r="M21" s="18" t="str">
        <f t="shared" si="7"/>
        <v/>
      </c>
      <c r="N21" s="18" t="str">
        <f t="shared" si="7"/>
        <v/>
      </c>
      <c r="O21" s="18" t="str">
        <f t="shared" si="7"/>
        <v/>
      </c>
      <c r="P21" s="18" t="str">
        <f t="shared" si="7"/>
        <v/>
      </c>
      <c r="Q21" s="18" t="str">
        <f t="shared" si="7"/>
        <v/>
      </c>
      <c r="R21" s="18" t="str">
        <f t="shared" si="7"/>
        <v/>
      </c>
      <c r="S21" s="18" t="str">
        <f t="shared" si="7"/>
        <v/>
      </c>
      <c r="T21" s="18" t="str">
        <f t="shared" si="7"/>
        <v/>
      </c>
      <c r="U21" s="18" t="str">
        <f t="shared" si="7"/>
        <v/>
      </c>
      <c r="V21" s="18" t="str">
        <f t="shared" si="7"/>
        <v/>
      </c>
      <c r="W21" s="18" t="str">
        <f t="shared" si="7"/>
        <v/>
      </c>
      <c r="X21" s="18" t="str">
        <f t="shared" si="21"/>
        <v/>
      </c>
      <c r="Y21" s="18" t="str">
        <f t="shared" si="21"/>
        <v/>
      </c>
      <c r="Z21" s="18" t="str">
        <f t="shared" si="21"/>
        <v/>
      </c>
      <c r="AA21" s="18" t="str">
        <f t="shared" si="21"/>
        <v/>
      </c>
      <c r="AB21" s="18" t="str">
        <f t="shared" si="21"/>
        <v/>
      </c>
      <c r="AC21" s="18" t="str">
        <f t="shared" si="21"/>
        <v/>
      </c>
      <c r="AD21" s="18" t="str">
        <f t="shared" si="21"/>
        <v/>
      </c>
      <c r="AE21" s="18" t="str">
        <f t="shared" si="21"/>
        <v/>
      </c>
      <c r="AF21" s="18" t="str">
        <f t="shared" si="21"/>
        <v/>
      </c>
      <c r="AG21" s="18" t="str">
        <f t="shared" si="21"/>
        <v/>
      </c>
      <c r="AH21" s="18" t="str">
        <f t="shared" si="21"/>
        <v/>
      </c>
      <c r="AI21" s="18" t="str">
        <f t="shared" si="21"/>
        <v/>
      </c>
      <c r="AJ21" s="18" t="str">
        <f t="shared" si="21"/>
        <v/>
      </c>
      <c r="AK21" s="18"/>
      <c r="AL21" s="18"/>
      <c r="AM21" s="18"/>
      <c r="AN21" s="18"/>
      <c r="AO21" s="18"/>
    </row>
    <row r="22" spans="1:41" ht="24" customHeight="1" thickBot="1">
      <c r="A22" s="19" t="s">
        <v>27</v>
      </c>
      <c r="B22" s="19" t="s">
        <v>25</v>
      </c>
      <c r="C22" s="16">
        <v>0</v>
      </c>
      <c r="D22" s="17">
        <f>E21+1</f>
        <v>45985</v>
      </c>
      <c r="E22" s="17">
        <f t="shared" si="22"/>
        <v>45991</v>
      </c>
      <c r="F22" s="14"/>
      <c r="G22" s="18" t="str">
        <f t="shared" ref="G22:AJ22" si="24">IF(AND($D22&lt;=G$4+6,$E22&gt;=G$4),1,"")</f>
        <v/>
      </c>
      <c r="H22" s="18" t="str">
        <f t="shared" si="24"/>
        <v/>
      </c>
      <c r="I22" s="18" t="str">
        <f t="shared" si="24"/>
        <v/>
      </c>
      <c r="J22" s="18" t="str">
        <f t="shared" si="24"/>
        <v/>
      </c>
      <c r="K22" s="18">
        <f t="shared" si="24"/>
        <v>1</v>
      </c>
      <c r="L22" s="18" t="str">
        <f t="shared" si="24"/>
        <v/>
      </c>
      <c r="M22" s="18" t="str">
        <f t="shared" si="24"/>
        <v/>
      </c>
      <c r="N22" s="18" t="str">
        <f t="shared" si="24"/>
        <v/>
      </c>
      <c r="O22" s="18" t="str">
        <f t="shared" si="24"/>
        <v/>
      </c>
      <c r="P22" s="18" t="str">
        <f t="shared" si="24"/>
        <v/>
      </c>
      <c r="Q22" s="18" t="str">
        <f t="shared" si="24"/>
        <v/>
      </c>
      <c r="R22" s="18" t="str">
        <f t="shared" si="24"/>
        <v/>
      </c>
      <c r="S22" s="18" t="str">
        <f t="shared" si="24"/>
        <v/>
      </c>
      <c r="T22" s="18" t="str">
        <f t="shared" si="24"/>
        <v/>
      </c>
      <c r="U22" s="18" t="str">
        <f t="shared" si="24"/>
        <v/>
      </c>
      <c r="V22" s="18" t="str">
        <f t="shared" si="24"/>
        <v/>
      </c>
      <c r="W22" s="18" t="str">
        <f t="shared" si="24"/>
        <v/>
      </c>
      <c r="X22" s="18" t="str">
        <f t="shared" si="24"/>
        <v/>
      </c>
      <c r="Y22" s="18" t="str">
        <f t="shared" si="24"/>
        <v/>
      </c>
      <c r="Z22" s="18" t="str">
        <f t="shared" si="24"/>
        <v/>
      </c>
      <c r="AA22" s="18" t="str">
        <f t="shared" si="24"/>
        <v/>
      </c>
      <c r="AB22" s="18" t="str">
        <f t="shared" si="24"/>
        <v/>
      </c>
      <c r="AC22" s="18" t="str">
        <f t="shared" si="24"/>
        <v/>
      </c>
      <c r="AD22" s="18" t="str">
        <f t="shared" si="24"/>
        <v/>
      </c>
      <c r="AE22" s="18" t="str">
        <f t="shared" si="24"/>
        <v/>
      </c>
      <c r="AF22" s="18" t="str">
        <f t="shared" si="24"/>
        <v/>
      </c>
      <c r="AG22" s="18" t="str">
        <f t="shared" si="24"/>
        <v/>
      </c>
      <c r="AH22" s="18" t="str">
        <f t="shared" si="24"/>
        <v/>
      </c>
      <c r="AI22" s="18" t="str">
        <f t="shared" si="24"/>
        <v/>
      </c>
      <c r="AJ22" s="18" t="str">
        <f t="shared" si="24"/>
        <v/>
      </c>
      <c r="AK22" s="18"/>
      <c r="AL22" s="18"/>
      <c r="AM22" s="18"/>
      <c r="AN22" s="18"/>
      <c r="AO22" s="18"/>
    </row>
    <row r="23" spans="1:41" ht="24" customHeight="1" thickBot="1">
      <c r="A23" s="19" t="s">
        <v>32</v>
      </c>
      <c r="B23" s="19" t="s">
        <v>31</v>
      </c>
      <c r="C23" s="16">
        <v>0</v>
      </c>
      <c r="D23" s="17">
        <v>45985</v>
      </c>
      <c r="E23" s="17">
        <f t="shared" si="22"/>
        <v>45991</v>
      </c>
      <c r="F23" s="14"/>
      <c r="G23" s="18" t="str">
        <f t="shared" si="20"/>
        <v/>
      </c>
      <c r="H23" s="18" t="str">
        <f t="shared" si="20"/>
        <v/>
      </c>
      <c r="I23" s="18" t="str">
        <f t="shared" si="7"/>
        <v/>
      </c>
      <c r="J23" s="18" t="str">
        <f t="shared" si="7"/>
        <v/>
      </c>
      <c r="K23" s="18">
        <f t="shared" si="7"/>
        <v>1</v>
      </c>
      <c r="L23" s="18" t="str">
        <f t="shared" si="7"/>
        <v/>
      </c>
      <c r="M23" s="18" t="str">
        <f t="shared" si="7"/>
        <v/>
      </c>
      <c r="N23" s="18" t="str">
        <f t="shared" si="7"/>
        <v/>
      </c>
      <c r="O23" s="18" t="str">
        <f t="shared" si="7"/>
        <v/>
      </c>
      <c r="P23" s="18" t="str">
        <f t="shared" si="7"/>
        <v/>
      </c>
      <c r="Q23" s="18" t="str">
        <f t="shared" si="7"/>
        <v/>
      </c>
      <c r="R23" s="18" t="str">
        <f t="shared" si="7"/>
        <v/>
      </c>
      <c r="S23" s="18" t="str">
        <f t="shared" si="7"/>
        <v/>
      </c>
      <c r="T23" s="18" t="str">
        <f t="shared" si="7"/>
        <v/>
      </c>
      <c r="U23" s="18" t="str">
        <f t="shared" si="7"/>
        <v/>
      </c>
      <c r="V23" s="18" t="str">
        <f t="shared" si="7"/>
        <v/>
      </c>
      <c r="W23" s="18" t="str">
        <f t="shared" si="7"/>
        <v/>
      </c>
      <c r="X23" s="18" t="str">
        <f t="shared" si="21"/>
        <v/>
      </c>
      <c r="Y23" s="18" t="str">
        <f t="shared" si="21"/>
        <v/>
      </c>
      <c r="Z23" s="18" t="str">
        <f t="shared" si="21"/>
        <v/>
      </c>
      <c r="AA23" s="18" t="str">
        <f t="shared" si="21"/>
        <v/>
      </c>
      <c r="AB23" s="18" t="str">
        <f t="shared" si="21"/>
        <v/>
      </c>
      <c r="AC23" s="18" t="str">
        <f t="shared" si="21"/>
        <v/>
      </c>
      <c r="AD23" s="18" t="str">
        <f t="shared" si="21"/>
        <v/>
      </c>
      <c r="AE23" s="18" t="str">
        <f t="shared" si="21"/>
        <v/>
      </c>
      <c r="AF23" s="18" t="str">
        <f t="shared" si="21"/>
        <v/>
      </c>
      <c r="AG23" s="18" t="str">
        <f t="shared" si="21"/>
        <v/>
      </c>
      <c r="AH23" s="18" t="str">
        <f t="shared" si="21"/>
        <v/>
      </c>
      <c r="AI23" s="18" t="str">
        <f t="shared" si="21"/>
        <v/>
      </c>
      <c r="AJ23" s="18" t="str">
        <f t="shared" si="21"/>
        <v/>
      </c>
      <c r="AK23" s="18"/>
      <c r="AL23" s="18"/>
      <c r="AM23" s="18"/>
      <c r="AN23" s="18"/>
      <c r="AO23" s="18"/>
    </row>
    <row r="24" spans="1:41" ht="24" customHeight="1" thickBot="1">
      <c r="A24" s="36" t="s">
        <v>30</v>
      </c>
      <c r="B24" s="19" t="s">
        <v>31</v>
      </c>
      <c r="C24" s="16"/>
      <c r="D24" s="17">
        <v>45993</v>
      </c>
      <c r="E24" s="17">
        <v>45993</v>
      </c>
      <c r="F24" s="14"/>
      <c r="G24" s="18" t="str">
        <f t="shared" si="20"/>
        <v/>
      </c>
      <c r="H24" s="18" t="str">
        <f t="shared" si="20"/>
        <v/>
      </c>
      <c r="I24" s="18" t="str">
        <f t="shared" si="7"/>
        <v/>
      </c>
      <c r="J24" s="18" t="str">
        <f t="shared" si="7"/>
        <v/>
      </c>
      <c r="K24" s="18" t="str">
        <f t="shared" si="7"/>
        <v/>
      </c>
      <c r="L24" s="18">
        <f t="shared" si="7"/>
        <v>1</v>
      </c>
      <c r="M24" s="18" t="str">
        <f t="shared" si="7"/>
        <v/>
      </c>
      <c r="N24" s="18" t="str">
        <f t="shared" si="7"/>
        <v/>
      </c>
      <c r="O24" s="18" t="str">
        <f t="shared" si="7"/>
        <v/>
      </c>
      <c r="P24" s="18" t="str">
        <f t="shared" si="7"/>
        <v/>
      </c>
      <c r="Q24" s="18" t="str">
        <f t="shared" si="7"/>
        <v/>
      </c>
      <c r="R24" s="18" t="str">
        <f t="shared" si="7"/>
        <v/>
      </c>
      <c r="S24" s="18" t="str">
        <f t="shared" si="7"/>
        <v/>
      </c>
      <c r="T24" s="18" t="str">
        <f t="shared" si="7"/>
        <v/>
      </c>
      <c r="U24" s="18" t="str">
        <f t="shared" si="7"/>
        <v/>
      </c>
      <c r="V24" s="18" t="str">
        <f t="shared" si="7"/>
        <v/>
      </c>
      <c r="W24" s="18" t="str">
        <f t="shared" si="7"/>
        <v/>
      </c>
      <c r="X24" s="18" t="str">
        <f t="shared" si="21"/>
        <v/>
      </c>
      <c r="Y24" s="18" t="str">
        <f t="shared" si="21"/>
        <v/>
      </c>
      <c r="Z24" s="18" t="str">
        <f t="shared" si="21"/>
        <v/>
      </c>
      <c r="AA24" s="18" t="str">
        <f t="shared" si="21"/>
        <v/>
      </c>
      <c r="AB24" s="18" t="str">
        <f t="shared" si="21"/>
        <v/>
      </c>
      <c r="AC24" s="18" t="str">
        <f t="shared" si="21"/>
        <v/>
      </c>
      <c r="AD24" s="18" t="str">
        <f t="shared" si="21"/>
        <v/>
      </c>
      <c r="AE24" s="18" t="str">
        <f t="shared" si="21"/>
        <v/>
      </c>
      <c r="AF24" s="18" t="str">
        <f t="shared" si="21"/>
        <v/>
      </c>
      <c r="AG24" s="18" t="str">
        <f t="shared" si="21"/>
        <v/>
      </c>
      <c r="AH24" s="18" t="str">
        <f t="shared" si="21"/>
        <v/>
      </c>
      <c r="AI24" s="18" t="str">
        <f t="shared" si="21"/>
        <v/>
      </c>
      <c r="AJ24" s="18" t="str">
        <f t="shared" si="21"/>
        <v/>
      </c>
      <c r="AK24" s="18"/>
      <c r="AL24" s="18"/>
      <c r="AM24" s="18"/>
      <c r="AN24" s="18"/>
      <c r="AO24" s="18"/>
    </row>
    <row r="25" spans="1:41" ht="24" customHeight="1" thickBot="1">
      <c r="A25" s="20" t="s">
        <v>11</v>
      </c>
      <c r="B25" s="21"/>
      <c r="C25" s="21"/>
      <c r="D25" s="21"/>
      <c r="E25" s="21"/>
      <c r="F25" s="14"/>
      <c r="G25" s="18" t="str">
        <f t="shared" si="20"/>
        <v/>
      </c>
      <c r="H25" s="18" t="str">
        <f t="shared" si="20"/>
        <v/>
      </c>
      <c r="I25" s="18" t="str">
        <f t="shared" si="7"/>
        <v/>
      </c>
      <c r="J25" s="18" t="str">
        <f t="shared" si="7"/>
        <v/>
      </c>
      <c r="K25" s="18" t="str">
        <f t="shared" si="7"/>
        <v/>
      </c>
      <c r="L25" s="18" t="str">
        <f t="shared" si="7"/>
        <v/>
      </c>
      <c r="M25" s="18" t="str">
        <f t="shared" si="7"/>
        <v/>
      </c>
      <c r="N25" s="18" t="str">
        <f t="shared" si="7"/>
        <v/>
      </c>
      <c r="O25" s="18" t="str">
        <f t="shared" si="7"/>
        <v/>
      </c>
      <c r="P25" s="18" t="str">
        <f t="shared" si="7"/>
        <v/>
      </c>
      <c r="Q25" s="18" t="str">
        <f t="shared" si="7"/>
        <v/>
      </c>
      <c r="R25" s="18" t="str">
        <f t="shared" si="7"/>
        <v/>
      </c>
      <c r="S25" s="18" t="str">
        <f t="shared" si="7"/>
        <v/>
      </c>
      <c r="T25" s="18" t="str">
        <f t="shared" si="7"/>
        <v/>
      </c>
      <c r="U25" s="18" t="str">
        <f t="shared" si="7"/>
        <v/>
      </c>
      <c r="V25" s="18" t="str">
        <f t="shared" si="7"/>
        <v/>
      </c>
      <c r="W25" s="18" t="str">
        <f t="shared" si="7"/>
        <v/>
      </c>
      <c r="X25" s="18" t="str">
        <f t="shared" si="21"/>
        <v/>
      </c>
      <c r="Y25" s="18" t="str">
        <f t="shared" si="21"/>
        <v/>
      </c>
      <c r="Z25" s="18" t="str">
        <f t="shared" si="21"/>
        <v/>
      </c>
      <c r="AA25" s="18" t="str">
        <f t="shared" si="21"/>
        <v/>
      </c>
      <c r="AB25" s="18" t="str">
        <f t="shared" si="21"/>
        <v/>
      </c>
      <c r="AC25" s="18" t="str">
        <f t="shared" si="21"/>
        <v/>
      </c>
      <c r="AD25" s="18" t="str">
        <f t="shared" si="21"/>
        <v/>
      </c>
      <c r="AE25" s="18" t="str">
        <f t="shared" si="21"/>
        <v/>
      </c>
      <c r="AF25" s="18" t="str">
        <f t="shared" si="21"/>
        <v/>
      </c>
      <c r="AG25" s="18" t="str">
        <f t="shared" si="21"/>
        <v/>
      </c>
      <c r="AH25" s="18" t="str">
        <f t="shared" si="21"/>
        <v/>
      </c>
      <c r="AI25" s="18" t="str">
        <f t="shared" si="21"/>
        <v/>
      </c>
      <c r="AJ25" s="18" t="str">
        <f t="shared" si="21"/>
        <v/>
      </c>
      <c r="AK25" s="18" t="str">
        <f t="shared" ref="AK25:AO29" si="25">IF(AND($D25&lt;=AK$4+6,$E25&gt;=AK$4),1,"")</f>
        <v/>
      </c>
      <c r="AL25" s="18" t="str">
        <f t="shared" si="25"/>
        <v/>
      </c>
      <c r="AM25" s="18" t="str">
        <f t="shared" si="25"/>
        <v/>
      </c>
      <c r="AN25" s="18" t="str">
        <f t="shared" si="25"/>
        <v/>
      </c>
      <c r="AO25" s="18" t="str">
        <f t="shared" si="25"/>
        <v/>
      </c>
    </row>
    <row r="26" spans="1:41" ht="24" customHeight="1" thickBot="1">
      <c r="A26" s="22" t="s">
        <v>34</v>
      </c>
      <c r="B26" s="22" t="s">
        <v>15</v>
      </c>
      <c r="C26" s="23">
        <v>0</v>
      </c>
      <c r="D26" s="24">
        <f>D24</f>
        <v>45993</v>
      </c>
      <c r="E26" s="24">
        <v>46012</v>
      </c>
      <c r="F26" s="14"/>
      <c r="G26" s="18" t="str">
        <f t="shared" si="20"/>
        <v/>
      </c>
      <c r="H26" s="18" t="str">
        <f t="shared" si="20"/>
        <v/>
      </c>
      <c r="I26" s="18" t="str">
        <f t="shared" si="7"/>
        <v/>
      </c>
      <c r="J26" s="18" t="str">
        <f t="shared" si="7"/>
        <v/>
      </c>
      <c r="K26" s="18" t="str">
        <f t="shared" si="7"/>
        <v/>
      </c>
      <c r="L26" s="18">
        <f t="shared" si="7"/>
        <v>1</v>
      </c>
      <c r="M26" s="18">
        <f t="shared" si="7"/>
        <v>1</v>
      </c>
      <c r="N26" s="18">
        <f t="shared" si="7"/>
        <v>1</v>
      </c>
      <c r="O26" s="18" t="str">
        <f t="shared" si="7"/>
        <v/>
      </c>
      <c r="P26" s="18" t="str">
        <f t="shared" si="7"/>
        <v/>
      </c>
      <c r="Q26" s="18" t="str">
        <f t="shared" si="7"/>
        <v/>
      </c>
      <c r="R26" s="18" t="str">
        <f t="shared" si="7"/>
        <v/>
      </c>
      <c r="S26" s="18" t="str">
        <f t="shared" si="7"/>
        <v/>
      </c>
      <c r="T26" s="18" t="str">
        <f t="shared" si="7"/>
        <v/>
      </c>
      <c r="U26" s="18" t="str">
        <f t="shared" si="7"/>
        <v/>
      </c>
      <c r="V26" s="18" t="str">
        <f t="shared" si="7"/>
        <v/>
      </c>
      <c r="W26" s="18" t="str">
        <f t="shared" si="7"/>
        <v/>
      </c>
      <c r="X26" s="18" t="str">
        <f t="shared" si="21"/>
        <v/>
      </c>
      <c r="Y26" s="18" t="str">
        <f t="shared" si="21"/>
        <v/>
      </c>
      <c r="Z26" s="18" t="str">
        <f t="shared" si="21"/>
        <v/>
      </c>
      <c r="AA26" s="18" t="str">
        <f t="shared" si="21"/>
        <v/>
      </c>
      <c r="AB26" s="18" t="str">
        <f t="shared" si="21"/>
        <v/>
      </c>
      <c r="AC26" s="18" t="str">
        <f t="shared" si="21"/>
        <v/>
      </c>
      <c r="AD26" s="18" t="str">
        <f t="shared" si="21"/>
        <v/>
      </c>
      <c r="AE26" s="18" t="str">
        <f t="shared" si="21"/>
        <v/>
      </c>
      <c r="AF26" s="18" t="str">
        <f t="shared" si="21"/>
        <v/>
      </c>
      <c r="AG26" s="18" t="str">
        <f t="shared" si="21"/>
        <v/>
      </c>
      <c r="AH26" s="18" t="str">
        <f t="shared" si="21"/>
        <v/>
      </c>
      <c r="AI26" s="18" t="str">
        <f t="shared" si="21"/>
        <v/>
      </c>
      <c r="AJ26" s="18" t="str">
        <f t="shared" si="21"/>
        <v/>
      </c>
      <c r="AK26" s="18" t="str">
        <f t="shared" si="25"/>
        <v/>
      </c>
      <c r="AL26" s="18" t="str">
        <f t="shared" si="25"/>
        <v/>
      </c>
      <c r="AM26" s="18" t="str">
        <f t="shared" si="25"/>
        <v/>
      </c>
      <c r="AN26" s="18" t="str">
        <f t="shared" si="25"/>
        <v/>
      </c>
      <c r="AO26" s="18" t="str">
        <f t="shared" si="25"/>
        <v/>
      </c>
    </row>
    <row r="27" spans="1:41" ht="24" customHeight="1" thickBot="1">
      <c r="A27" s="22" t="s">
        <v>35</v>
      </c>
      <c r="B27" s="22" t="s">
        <v>15</v>
      </c>
      <c r="C27" s="23">
        <v>0</v>
      </c>
      <c r="D27" s="24">
        <f>E26+1</f>
        <v>46013</v>
      </c>
      <c r="E27" s="24">
        <f>D27+13</f>
        <v>46026</v>
      </c>
      <c r="F27" s="14"/>
      <c r="G27" s="18" t="str">
        <f t="shared" si="11"/>
        <v/>
      </c>
      <c r="H27" s="18" t="str">
        <f t="shared" si="7"/>
        <v/>
      </c>
      <c r="I27" s="18" t="str">
        <f t="shared" si="7"/>
        <v/>
      </c>
      <c r="J27" s="18" t="str">
        <f t="shared" si="7"/>
        <v/>
      </c>
      <c r="K27" s="18" t="str">
        <f t="shared" si="7"/>
        <v/>
      </c>
      <c r="L27" s="18" t="str">
        <f t="shared" si="7"/>
        <v/>
      </c>
      <c r="M27" s="18" t="str">
        <f t="shared" si="7"/>
        <v/>
      </c>
      <c r="N27" s="18" t="str">
        <f t="shared" si="7"/>
        <v/>
      </c>
      <c r="O27" s="18">
        <f t="shared" si="7"/>
        <v>1</v>
      </c>
      <c r="P27" s="18">
        <f t="shared" si="7"/>
        <v>1</v>
      </c>
      <c r="Q27" s="18" t="str">
        <f t="shared" si="7"/>
        <v/>
      </c>
      <c r="R27" s="18" t="str">
        <f t="shared" si="7"/>
        <v/>
      </c>
      <c r="S27" s="18" t="str">
        <f t="shared" si="7"/>
        <v/>
      </c>
      <c r="T27" s="18" t="str">
        <f t="shared" ref="T27:AC29" si="26">IF(AND($D27&lt;=T$4+6,$E27&gt;=T$4),1,"")</f>
        <v/>
      </c>
      <c r="U27" s="18" t="str">
        <f t="shared" si="26"/>
        <v/>
      </c>
      <c r="V27" s="18" t="str">
        <f t="shared" si="26"/>
        <v/>
      </c>
      <c r="W27" s="18" t="str">
        <f t="shared" si="26"/>
        <v/>
      </c>
      <c r="X27" s="18" t="str">
        <f t="shared" si="26"/>
        <v/>
      </c>
      <c r="Y27" s="18" t="str">
        <f t="shared" si="26"/>
        <v/>
      </c>
      <c r="Z27" s="18" t="str">
        <f t="shared" si="26"/>
        <v/>
      </c>
      <c r="AA27" s="18" t="str">
        <f t="shared" si="26"/>
        <v/>
      </c>
      <c r="AB27" s="18" t="str">
        <f t="shared" si="26"/>
        <v/>
      </c>
      <c r="AC27" s="18" t="str">
        <f t="shared" si="26"/>
        <v/>
      </c>
      <c r="AD27" s="18" t="str">
        <f t="shared" ref="AD27:AJ29" si="27">IF(AND($D27&lt;=AD$4+6,$E27&gt;=AD$4),1,"")</f>
        <v/>
      </c>
      <c r="AE27" s="18" t="str">
        <f t="shared" si="27"/>
        <v/>
      </c>
      <c r="AF27" s="18" t="str">
        <f t="shared" si="27"/>
        <v/>
      </c>
      <c r="AG27" s="18" t="str">
        <f t="shared" si="27"/>
        <v/>
      </c>
      <c r="AH27" s="18" t="str">
        <f t="shared" si="27"/>
        <v/>
      </c>
      <c r="AI27" s="18" t="str">
        <f t="shared" si="27"/>
        <v/>
      </c>
      <c r="AJ27" s="18" t="str">
        <f t="shared" si="27"/>
        <v/>
      </c>
      <c r="AK27" s="18" t="str">
        <f t="shared" si="25"/>
        <v/>
      </c>
      <c r="AL27" s="18" t="str">
        <f t="shared" si="25"/>
        <v/>
      </c>
      <c r="AM27" s="18" t="str">
        <f t="shared" si="25"/>
        <v/>
      </c>
      <c r="AN27" s="18" t="str">
        <f t="shared" si="25"/>
        <v/>
      </c>
      <c r="AO27" s="18" t="str">
        <f t="shared" si="25"/>
        <v/>
      </c>
    </row>
    <row r="28" spans="1:41" ht="24" customHeight="1" thickBot="1">
      <c r="A28" s="22" t="s">
        <v>7</v>
      </c>
      <c r="B28" s="22"/>
      <c r="C28" s="23"/>
      <c r="D28" s="24">
        <f>E27</f>
        <v>46026</v>
      </c>
      <c r="E28" s="24">
        <f>D28+3</f>
        <v>46029</v>
      </c>
      <c r="F28" s="14"/>
      <c r="G28" s="18" t="str">
        <f t="shared" si="11"/>
        <v/>
      </c>
      <c r="H28" s="18" t="str">
        <f t="shared" si="11"/>
        <v/>
      </c>
      <c r="I28" s="18" t="str">
        <f t="shared" si="11"/>
        <v/>
      </c>
      <c r="J28" s="18" t="str">
        <f t="shared" si="11"/>
        <v/>
      </c>
      <c r="K28" s="18" t="str">
        <f t="shared" si="11"/>
        <v/>
      </c>
      <c r="L28" s="18" t="str">
        <f t="shared" si="11"/>
        <v/>
      </c>
      <c r="M28" s="18" t="str">
        <f t="shared" si="11"/>
        <v/>
      </c>
      <c r="N28" s="18" t="str">
        <f t="shared" si="11"/>
        <v/>
      </c>
      <c r="O28" s="18" t="str">
        <f t="shared" si="11"/>
        <v/>
      </c>
      <c r="P28" s="18">
        <f t="shared" si="11"/>
        <v>1</v>
      </c>
      <c r="Q28" s="18">
        <f t="shared" si="11"/>
        <v>1</v>
      </c>
      <c r="R28" s="18" t="str">
        <f t="shared" si="11"/>
        <v/>
      </c>
      <c r="S28" s="18" t="str">
        <f t="shared" si="11"/>
        <v/>
      </c>
      <c r="T28" s="18" t="str">
        <f t="shared" si="26"/>
        <v/>
      </c>
      <c r="U28" s="18" t="str">
        <f t="shared" si="26"/>
        <v/>
      </c>
      <c r="V28" s="18" t="str">
        <f t="shared" si="26"/>
        <v/>
      </c>
      <c r="W28" s="18" t="str">
        <f t="shared" si="26"/>
        <v/>
      </c>
      <c r="X28" s="18" t="str">
        <f t="shared" si="26"/>
        <v/>
      </c>
      <c r="Y28" s="18" t="str">
        <f t="shared" si="26"/>
        <v/>
      </c>
      <c r="Z28" s="18" t="str">
        <f t="shared" si="26"/>
        <v/>
      </c>
      <c r="AA28" s="18" t="str">
        <f t="shared" si="26"/>
        <v/>
      </c>
      <c r="AB28" s="18" t="str">
        <f t="shared" si="26"/>
        <v/>
      </c>
      <c r="AC28" s="18" t="str">
        <f t="shared" si="26"/>
        <v/>
      </c>
      <c r="AD28" s="18" t="str">
        <f t="shared" si="27"/>
        <v/>
      </c>
      <c r="AE28" s="18" t="str">
        <f t="shared" si="27"/>
        <v/>
      </c>
      <c r="AF28" s="18" t="str">
        <f t="shared" si="27"/>
        <v/>
      </c>
      <c r="AG28" s="18" t="str">
        <f t="shared" si="27"/>
        <v/>
      </c>
      <c r="AH28" s="18" t="str">
        <f t="shared" si="27"/>
        <v/>
      </c>
      <c r="AI28" s="18" t="str">
        <f t="shared" si="27"/>
        <v/>
      </c>
      <c r="AJ28" s="18" t="str">
        <f t="shared" si="27"/>
        <v/>
      </c>
      <c r="AK28" s="18" t="str">
        <f t="shared" si="25"/>
        <v/>
      </c>
      <c r="AL28" s="18" t="str">
        <f t="shared" si="25"/>
        <v/>
      </c>
      <c r="AM28" s="18" t="str">
        <f t="shared" si="25"/>
        <v/>
      </c>
      <c r="AN28" s="18" t="str">
        <f t="shared" si="25"/>
        <v/>
      </c>
      <c r="AO28" s="18" t="str">
        <f t="shared" si="25"/>
        <v/>
      </c>
    </row>
    <row r="29" spans="1:41" ht="24" customHeight="1" thickBot="1">
      <c r="A29" s="22" t="s">
        <v>37</v>
      </c>
      <c r="B29" s="22" t="s">
        <v>31</v>
      </c>
      <c r="C29" s="23">
        <v>0</v>
      </c>
      <c r="D29" s="24">
        <f>E29-6</f>
        <v>46034</v>
      </c>
      <c r="E29" s="24">
        <f>D30-2</f>
        <v>46040</v>
      </c>
      <c r="F29" s="14"/>
      <c r="G29" s="18" t="str">
        <f t="shared" si="11"/>
        <v/>
      </c>
      <c r="H29" s="18" t="str">
        <f t="shared" si="11"/>
        <v/>
      </c>
      <c r="I29" s="18" t="str">
        <f t="shared" si="11"/>
        <v/>
      </c>
      <c r="J29" s="18" t="str">
        <f t="shared" si="11"/>
        <v/>
      </c>
      <c r="K29" s="18" t="str">
        <f t="shared" si="11"/>
        <v/>
      </c>
      <c r="L29" s="18" t="str">
        <f t="shared" si="11"/>
        <v/>
      </c>
      <c r="M29" s="18" t="str">
        <f t="shared" si="11"/>
        <v/>
      </c>
      <c r="N29" s="18" t="str">
        <f t="shared" si="11"/>
        <v/>
      </c>
      <c r="O29" s="18" t="str">
        <f t="shared" si="11"/>
        <v/>
      </c>
      <c r="P29" s="18" t="str">
        <f t="shared" si="11"/>
        <v/>
      </c>
      <c r="Q29" s="18" t="str">
        <f t="shared" si="11"/>
        <v/>
      </c>
      <c r="R29" s="18">
        <f t="shared" si="11"/>
        <v>1</v>
      </c>
      <c r="S29" s="18" t="str">
        <f t="shared" si="11"/>
        <v/>
      </c>
      <c r="T29" s="18" t="str">
        <f t="shared" si="26"/>
        <v/>
      </c>
      <c r="U29" s="18" t="str">
        <f t="shared" si="26"/>
        <v/>
      </c>
      <c r="V29" s="18" t="str">
        <f t="shared" si="26"/>
        <v/>
      </c>
      <c r="W29" s="18" t="str">
        <f t="shared" si="26"/>
        <v/>
      </c>
      <c r="X29" s="18" t="str">
        <f t="shared" si="26"/>
        <v/>
      </c>
      <c r="Y29" s="18" t="str">
        <f t="shared" si="26"/>
        <v/>
      </c>
      <c r="Z29" s="18" t="str">
        <f t="shared" si="26"/>
        <v/>
      </c>
      <c r="AA29" s="18" t="str">
        <f t="shared" si="26"/>
        <v/>
      </c>
      <c r="AB29" s="18" t="str">
        <f t="shared" si="26"/>
        <v/>
      </c>
      <c r="AC29" s="18" t="str">
        <f t="shared" si="26"/>
        <v/>
      </c>
      <c r="AD29" s="18" t="str">
        <f t="shared" si="27"/>
        <v/>
      </c>
      <c r="AE29" s="18" t="str">
        <f t="shared" si="27"/>
        <v/>
      </c>
      <c r="AF29" s="18" t="str">
        <f t="shared" si="27"/>
        <v/>
      </c>
      <c r="AG29" s="18" t="str">
        <f t="shared" si="27"/>
        <v/>
      </c>
      <c r="AH29" s="18" t="str">
        <f t="shared" si="27"/>
        <v/>
      </c>
      <c r="AI29" s="18" t="str">
        <f t="shared" si="27"/>
        <v/>
      </c>
      <c r="AJ29" s="18" t="str">
        <f t="shared" si="27"/>
        <v/>
      </c>
      <c r="AK29" s="18" t="str">
        <f t="shared" si="25"/>
        <v/>
      </c>
      <c r="AL29" s="18" t="str">
        <f t="shared" si="25"/>
        <v/>
      </c>
      <c r="AM29" s="18" t="str">
        <f t="shared" si="25"/>
        <v/>
      </c>
      <c r="AN29" s="18" t="str">
        <f t="shared" si="25"/>
        <v/>
      </c>
      <c r="AO29" s="18" t="str">
        <f t="shared" si="25"/>
        <v/>
      </c>
    </row>
    <row r="30" spans="1:41" ht="24" customHeight="1" thickBot="1">
      <c r="A30" s="35" t="s">
        <v>36</v>
      </c>
      <c r="B30" s="22" t="s">
        <v>31</v>
      </c>
      <c r="C30" s="23"/>
      <c r="D30" s="24">
        <v>46042</v>
      </c>
      <c r="E30" s="24">
        <f>D30</f>
        <v>46042</v>
      </c>
      <c r="F30" s="14"/>
      <c r="G30" s="18" t="str">
        <f t="shared" si="11"/>
        <v/>
      </c>
      <c r="H30" s="18" t="str">
        <f t="shared" si="11"/>
        <v/>
      </c>
      <c r="I30" s="18" t="str">
        <f t="shared" si="11"/>
        <v/>
      </c>
      <c r="J30" s="18" t="str">
        <f t="shared" si="11"/>
        <v/>
      </c>
      <c r="K30" s="18" t="str">
        <f t="shared" si="11"/>
        <v/>
      </c>
      <c r="L30" s="18" t="str">
        <f t="shared" si="11"/>
        <v/>
      </c>
      <c r="M30" s="18" t="str">
        <f t="shared" si="11"/>
        <v/>
      </c>
      <c r="N30" s="18" t="str">
        <f t="shared" si="11"/>
        <v/>
      </c>
      <c r="O30" s="18" t="str">
        <f t="shared" si="11"/>
        <v/>
      </c>
      <c r="P30" s="18" t="str">
        <f t="shared" si="11"/>
        <v/>
      </c>
      <c r="Q30" s="18" t="str">
        <f t="shared" si="11"/>
        <v/>
      </c>
      <c r="R30" s="18" t="str">
        <f t="shared" si="11"/>
        <v/>
      </c>
      <c r="S30" s="18">
        <f t="shared" si="11"/>
        <v>1</v>
      </c>
      <c r="T30" s="18" t="str">
        <f t="shared" ref="T30:T44" si="28">IF(AND($D30&lt;=T$4+6,$E30&gt;=T$4),1,"")</f>
        <v/>
      </c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spans="1:41" ht="24" customHeight="1" thickBot="1">
      <c r="A31" s="22" t="s">
        <v>32</v>
      </c>
      <c r="B31" s="22" t="s">
        <v>31</v>
      </c>
      <c r="C31" s="23">
        <v>0</v>
      </c>
      <c r="D31" s="24">
        <f>E30+1</f>
        <v>46043</v>
      </c>
      <c r="E31" s="24">
        <f>D32-2</f>
        <v>46047</v>
      </c>
      <c r="F31" s="14"/>
      <c r="G31" s="18" t="str">
        <f t="shared" si="11"/>
        <v/>
      </c>
      <c r="H31" s="18" t="str">
        <f t="shared" si="11"/>
        <v/>
      </c>
      <c r="I31" s="18" t="str">
        <f t="shared" si="11"/>
        <v/>
      </c>
      <c r="J31" s="18" t="str">
        <f t="shared" si="11"/>
        <v/>
      </c>
      <c r="K31" s="18" t="str">
        <f t="shared" si="11"/>
        <v/>
      </c>
      <c r="L31" s="18" t="str">
        <f t="shared" si="11"/>
        <v/>
      </c>
      <c r="M31" s="18" t="str">
        <f t="shared" si="11"/>
        <v/>
      </c>
      <c r="N31" s="18" t="str">
        <f t="shared" si="11"/>
        <v/>
      </c>
      <c r="O31" s="18" t="str">
        <f t="shared" si="11"/>
        <v/>
      </c>
      <c r="P31" s="18" t="str">
        <f t="shared" si="11"/>
        <v/>
      </c>
      <c r="Q31" s="18" t="str">
        <f t="shared" si="11"/>
        <v/>
      </c>
      <c r="R31" s="18" t="str">
        <f t="shared" si="11"/>
        <v/>
      </c>
      <c r="S31" s="18">
        <f t="shared" si="11"/>
        <v>1</v>
      </c>
      <c r="T31" s="18" t="str">
        <f t="shared" si="28"/>
        <v/>
      </c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spans="1:41" ht="24" customHeight="1" thickBot="1">
      <c r="A32" s="35" t="s">
        <v>33</v>
      </c>
      <c r="B32" s="22" t="s">
        <v>31</v>
      </c>
      <c r="C32" s="23"/>
      <c r="D32" s="24">
        <v>46049</v>
      </c>
      <c r="E32" s="24">
        <f>D32</f>
        <v>46049</v>
      </c>
      <c r="F32" s="14"/>
      <c r="G32" s="18" t="str">
        <f t="shared" si="11"/>
        <v/>
      </c>
      <c r="H32" s="18" t="str">
        <f t="shared" si="11"/>
        <v/>
      </c>
      <c r="I32" s="18" t="str">
        <f t="shared" si="11"/>
        <v/>
      </c>
      <c r="J32" s="18" t="str">
        <f t="shared" si="11"/>
        <v/>
      </c>
      <c r="K32" s="18" t="str">
        <f t="shared" si="11"/>
        <v/>
      </c>
      <c r="L32" s="18" t="str">
        <f t="shared" si="11"/>
        <v/>
      </c>
      <c r="M32" s="18" t="str">
        <f t="shared" si="11"/>
        <v/>
      </c>
      <c r="N32" s="18" t="str">
        <f t="shared" si="11"/>
        <v/>
      </c>
      <c r="O32" s="18" t="str">
        <f t="shared" si="11"/>
        <v/>
      </c>
      <c r="P32" s="18" t="str">
        <f t="shared" si="11"/>
        <v/>
      </c>
      <c r="Q32" s="18" t="str">
        <f t="shared" si="11"/>
        <v/>
      </c>
      <c r="R32" s="18" t="str">
        <f t="shared" si="11"/>
        <v/>
      </c>
      <c r="S32" s="18" t="str">
        <f t="shared" si="11"/>
        <v/>
      </c>
      <c r="T32" s="18">
        <f t="shared" si="28"/>
        <v>1</v>
      </c>
      <c r="U32" s="18" t="str">
        <f t="shared" ref="U32:AD44" si="29">IF(AND($D32&lt;=U$4+6,$E32&gt;=U$4),1,"")</f>
        <v/>
      </c>
      <c r="V32" s="18" t="str">
        <f t="shared" si="29"/>
        <v/>
      </c>
      <c r="W32" s="18" t="str">
        <f t="shared" si="29"/>
        <v/>
      </c>
      <c r="X32" s="18" t="str">
        <f t="shared" si="29"/>
        <v/>
      </c>
      <c r="Y32" s="18" t="str">
        <f t="shared" si="29"/>
        <v/>
      </c>
      <c r="Z32" s="18" t="str">
        <f t="shared" si="29"/>
        <v/>
      </c>
      <c r="AA32" s="18" t="str">
        <f t="shared" si="29"/>
        <v/>
      </c>
      <c r="AB32" s="18" t="str">
        <f t="shared" si="29"/>
        <v/>
      </c>
      <c r="AC32" s="18" t="str">
        <f t="shared" si="29"/>
        <v/>
      </c>
      <c r="AD32" s="18" t="str">
        <f t="shared" si="29"/>
        <v/>
      </c>
      <c r="AE32" s="18" t="str">
        <f t="shared" ref="AE32:AO44" si="30">IF(AND($D32&lt;=AE$4+6,$E32&gt;=AE$4),1,"")</f>
        <v/>
      </c>
      <c r="AF32" s="18" t="str">
        <f t="shared" si="30"/>
        <v/>
      </c>
      <c r="AG32" s="18" t="str">
        <f t="shared" si="30"/>
        <v/>
      </c>
      <c r="AH32" s="18" t="str">
        <f t="shared" si="30"/>
        <v/>
      </c>
      <c r="AI32" s="18" t="str">
        <f t="shared" si="30"/>
        <v/>
      </c>
      <c r="AJ32" s="18" t="str">
        <f t="shared" si="30"/>
        <v/>
      </c>
      <c r="AK32" s="18" t="str">
        <f t="shared" si="30"/>
        <v/>
      </c>
      <c r="AL32" s="18" t="str">
        <f t="shared" si="30"/>
        <v/>
      </c>
      <c r="AM32" s="18" t="str">
        <f t="shared" si="30"/>
        <v/>
      </c>
      <c r="AN32" s="18" t="str">
        <f t="shared" si="30"/>
        <v/>
      </c>
      <c r="AO32" s="18" t="str">
        <f t="shared" si="30"/>
        <v/>
      </c>
    </row>
    <row r="33" spans="1:41" ht="24" customHeight="1" thickBot="1">
      <c r="A33" s="25"/>
      <c r="B33" s="26"/>
      <c r="C33" s="26"/>
      <c r="D33" s="26"/>
      <c r="E33" s="26"/>
      <c r="F33" s="14"/>
      <c r="G33" s="18" t="str">
        <f t="shared" si="11"/>
        <v/>
      </c>
      <c r="H33" s="18" t="str">
        <f t="shared" si="11"/>
        <v/>
      </c>
      <c r="I33" s="18" t="str">
        <f t="shared" si="11"/>
        <v/>
      </c>
      <c r="J33" s="18" t="str">
        <f t="shared" si="11"/>
        <v/>
      </c>
      <c r="K33" s="18" t="str">
        <f t="shared" si="11"/>
        <v/>
      </c>
      <c r="L33" s="18" t="str">
        <f t="shared" si="11"/>
        <v/>
      </c>
      <c r="M33" s="18" t="str">
        <f t="shared" si="11"/>
        <v/>
      </c>
      <c r="N33" s="18" t="str">
        <f t="shared" si="11"/>
        <v/>
      </c>
      <c r="O33" s="18" t="str">
        <f t="shared" si="11"/>
        <v/>
      </c>
      <c r="P33" s="18" t="str">
        <f t="shared" si="11"/>
        <v/>
      </c>
      <c r="Q33" s="18" t="str">
        <f t="shared" si="11"/>
        <v/>
      </c>
      <c r="R33" s="18" t="str">
        <f t="shared" si="11"/>
        <v/>
      </c>
      <c r="S33" s="18" t="str">
        <f t="shared" si="11"/>
        <v/>
      </c>
      <c r="T33" s="18" t="str">
        <f t="shared" si="28"/>
        <v/>
      </c>
      <c r="U33" s="18" t="str">
        <f t="shared" si="29"/>
        <v/>
      </c>
      <c r="V33" s="18" t="str">
        <f t="shared" si="29"/>
        <v/>
      </c>
      <c r="W33" s="18" t="str">
        <f t="shared" si="29"/>
        <v/>
      </c>
      <c r="X33" s="18" t="str">
        <f t="shared" si="29"/>
        <v/>
      </c>
      <c r="Y33" s="18" t="str">
        <f t="shared" si="29"/>
        <v/>
      </c>
      <c r="Z33" s="18" t="str">
        <f t="shared" si="29"/>
        <v/>
      </c>
      <c r="AA33" s="18" t="str">
        <f t="shared" si="29"/>
        <v/>
      </c>
      <c r="AB33" s="18" t="str">
        <f t="shared" si="29"/>
        <v/>
      </c>
      <c r="AC33" s="18" t="str">
        <f t="shared" si="29"/>
        <v/>
      </c>
      <c r="AD33" s="18" t="str">
        <f t="shared" si="29"/>
        <v/>
      </c>
      <c r="AE33" s="18" t="str">
        <f t="shared" si="30"/>
        <v/>
      </c>
      <c r="AF33" s="18" t="str">
        <f t="shared" si="30"/>
        <v/>
      </c>
      <c r="AG33" s="18" t="str">
        <f t="shared" si="30"/>
        <v/>
      </c>
      <c r="AH33" s="18" t="str">
        <f t="shared" si="30"/>
        <v/>
      </c>
      <c r="AI33" s="18" t="str">
        <f t="shared" si="30"/>
        <v/>
      </c>
      <c r="AJ33" s="18" t="str">
        <f t="shared" si="30"/>
        <v/>
      </c>
      <c r="AK33" s="18" t="str">
        <f t="shared" si="30"/>
        <v/>
      </c>
      <c r="AL33" s="18" t="str">
        <f t="shared" si="30"/>
        <v/>
      </c>
      <c r="AM33" s="18" t="str">
        <f t="shared" si="30"/>
        <v/>
      </c>
      <c r="AN33" s="18" t="str">
        <f t="shared" si="30"/>
        <v/>
      </c>
      <c r="AO33" s="18" t="str">
        <f t="shared" si="30"/>
        <v/>
      </c>
    </row>
    <row r="34" spans="1:41" ht="24" customHeight="1" thickBot="1">
      <c r="A34" s="27"/>
      <c r="B34" s="27"/>
      <c r="C34" s="28"/>
      <c r="D34" s="29"/>
      <c r="E34" s="29"/>
      <c r="F34" s="14"/>
      <c r="G34" s="18" t="str">
        <f t="shared" si="11"/>
        <v/>
      </c>
      <c r="H34" s="18" t="str">
        <f t="shared" si="11"/>
        <v/>
      </c>
      <c r="I34" s="18" t="str">
        <f t="shared" si="11"/>
        <v/>
      </c>
      <c r="J34" s="18" t="str">
        <f t="shared" si="11"/>
        <v/>
      </c>
      <c r="K34" s="18" t="str">
        <f t="shared" si="11"/>
        <v/>
      </c>
      <c r="L34" s="18" t="str">
        <f t="shared" si="11"/>
        <v/>
      </c>
      <c r="M34" s="18" t="str">
        <f t="shared" si="11"/>
        <v/>
      </c>
      <c r="N34" s="18" t="str">
        <f t="shared" si="11"/>
        <v/>
      </c>
      <c r="O34" s="18" t="str">
        <f t="shared" si="11"/>
        <v/>
      </c>
      <c r="P34" s="18" t="str">
        <f t="shared" si="11"/>
        <v/>
      </c>
      <c r="Q34" s="18" t="str">
        <f t="shared" si="11"/>
        <v/>
      </c>
      <c r="R34" s="18" t="str">
        <f t="shared" si="11"/>
        <v/>
      </c>
      <c r="S34" s="18" t="str">
        <f t="shared" si="11"/>
        <v/>
      </c>
      <c r="T34" s="18" t="str">
        <f t="shared" si="28"/>
        <v/>
      </c>
      <c r="U34" s="18" t="str">
        <f t="shared" si="29"/>
        <v/>
      </c>
      <c r="V34" s="18" t="str">
        <f t="shared" si="29"/>
        <v/>
      </c>
      <c r="W34" s="18" t="str">
        <f t="shared" si="29"/>
        <v/>
      </c>
      <c r="X34" s="18" t="str">
        <f t="shared" si="29"/>
        <v/>
      </c>
      <c r="Y34" s="18" t="str">
        <f t="shared" si="29"/>
        <v/>
      </c>
      <c r="Z34" s="18" t="str">
        <f t="shared" si="29"/>
        <v/>
      </c>
      <c r="AA34" s="18" t="str">
        <f t="shared" si="29"/>
        <v/>
      </c>
      <c r="AB34" s="18" t="str">
        <f t="shared" si="29"/>
        <v/>
      </c>
      <c r="AC34" s="18" t="str">
        <f t="shared" si="29"/>
        <v/>
      </c>
      <c r="AD34" s="18" t="str">
        <f t="shared" si="29"/>
        <v/>
      </c>
      <c r="AE34" s="18" t="str">
        <f t="shared" si="30"/>
        <v/>
      </c>
      <c r="AF34" s="18" t="str">
        <f t="shared" si="30"/>
        <v/>
      </c>
      <c r="AG34" s="18" t="str">
        <f t="shared" si="30"/>
        <v/>
      </c>
      <c r="AH34" s="18" t="str">
        <f t="shared" si="30"/>
        <v/>
      </c>
      <c r="AI34" s="18" t="str">
        <f t="shared" si="30"/>
        <v/>
      </c>
      <c r="AJ34" s="18" t="str">
        <f t="shared" si="30"/>
        <v/>
      </c>
      <c r="AK34" s="18" t="str">
        <f t="shared" si="30"/>
        <v/>
      </c>
      <c r="AL34" s="18" t="str">
        <f t="shared" si="30"/>
        <v/>
      </c>
      <c r="AM34" s="18" t="str">
        <f t="shared" si="30"/>
        <v/>
      </c>
      <c r="AN34" s="18" t="str">
        <f t="shared" si="30"/>
        <v/>
      </c>
      <c r="AO34" s="18" t="str">
        <f t="shared" si="30"/>
        <v/>
      </c>
    </row>
    <row r="35" spans="1:41" ht="24" customHeight="1" thickBot="1">
      <c r="A35" s="27"/>
      <c r="B35" s="27"/>
      <c r="C35" s="28"/>
      <c r="D35" s="29"/>
      <c r="E35" s="29"/>
      <c r="F35" s="14"/>
      <c r="G35" s="18" t="str">
        <f t="shared" si="11"/>
        <v/>
      </c>
      <c r="H35" s="18" t="str">
        <f t="shared" si="11"/>
        <v/>
      </c>
      <c r="I35" s="18" t="str">
        <f t="shared" si="11"/>
        <v/>
      </c>
      <c r="J35" s="18" t="str">
        <f t="shared" si="11"/>
        <v/>
      </c>
      <c r="K35" s="18" t="str">
        <f t="shared" si="11"/>
        <v/>
      </c>
      <c r="L35" s="18" t="str">
        <f t="shared" si="11"/>
        <v/>
      </c>
      <c r="M35" s="18" t="str">
        <f t="shared" si="11"/>
        <v/>
      </c>
      <c r="N35" s="18" t="str">
        <f t="shared" si="11"/>
        <v/>
      </c>
      <c r="O35" s="18" t="str">
        <f t="shared" si="11"/>
        <v/>
      </c>
      <c r="P35" s="18" t="str">
        <f t="shared" si="11"/>
        <v/>
      </c>
      <c r="Q35" s="18" t="str">
        <f t="shared" si="11"/>
        <v/>
      </c>
      <c r="R35" s="18" t="str">
        <f t="shared" si="11"/>
        <v/>
      </c>
      <c r="S35" s="18" t="str">
        <f t="shared" si="11"/>
        <v/>
      </c>
      <c r="T35" s="18" t="str">
        <f t="shared" si="28"/>
        <v/>
      </c>
      <c r="U35" s="18" t="str">
        <f t="shared" si="29"/>
        <v/>
      </c>
      <c r="V35" s="18" t="str">
        <f t="shared" si="29"/>
        <v/>
      </c>
      <c r="W35" s="18" t="str">
        <f t="shared" si="29"/>
        <v/>
      </c>
      <c r="X35" s="18" t="str">
        <f t="shared" si="29"/>
        <v/>
      </c>
      <c r="Y35" s="18" t="str">
        <f t="shared" si="29"/>
        <v/>
      </c>
      <c r="Z35" s="18" t="str">
        <f t="shared" si="29"/>
        <v/>
      </c>
      <c r="AA35" s="18" t="str">
        <f t="shared" si="29"/>
        <v/>
      </c>
      <c r="AB35" s="18" t="str">
        <f t="shared" si="29"/>
        <v/>
      </c>
      <c r="AC35" s="18" t="str">
        <f t="shared" si="29"/>
        <v/>
      </c>
      <c r="AD35" s="18" t="str">
        <f t="shared" si="29"/>
        <v/>
      </c>
      <c r="AE35" s="18" t="str">
        <f t="shared" si="30"/>
        <v/>
      </c>
      <c r="AF35" s="18" t="str">
        <f t="shared" si="30"/>
        <v/>
      </c>
      <c r="AG35" s="18" t="str">
        <f t="shared" si="30"/>
        <v/>
      </c>
      <c r="AH35" s="18" t="str">
        <f t="shared" si="30"/>
        <v/>
      </c>
      <c r="AI35" s="18" t="str">
        <f t="shared" si="30"/>
        <v/>
      </c>
      <c r="AJ35" s="18" t="str">
        <f t="shared" si="30"/>
        <v/>
      </c>
      <c r="AK35" s="18" t="str">
        <f t="shared" si="30"/>
        <v/>
      </c>
      <c r="AL35" s="18" t="str">
        <f t="shared" si="30"/>
        <v/>
      </c>
      <c r="AM35" s="18" t="str">
        <f t="shared" si="30"/>
        <v/>
      </c>
      <c r="AN35" s="18" t="str">
        <f t="shared" si="30"/>
        <v/>
      </c>
      <c r="AO35" s="18" t="str">
        <f t="shared" si="30"/>
        <v/>
      </c>
    </row>
    <row r="36" spans="1:41" ht="24" customHeight="1" thickBot="1">
      <c r="A36" s="27"/>
      <c r="B36" s="27"/>
      <c r="C36" s="28"/>
      <c r="D36" s="29"/>
      <c r="E36" s="29"/>
      <c r="F36" s="14"/>
      <c r="G36" s="18" t="str">
        <f t="shared" si="11"/>
        <v/>
      </c>
      <c r="H36" s="18" t="str">
        <f t="shared" si="11"/>
        <v/>
      </c>
      <c r="I36" s="18" t="str">
        <f t="shared" si="11"/>
        <v/>
      </c>
      <c r="J36" s="18" t="str">
        <f t="shared" si="11"/>
        <v/>
      </c>
      <c r="K36" s="18" t="str">
        <f t="shared" si="11"/>
        <v/>
      </c>
      <c r="L36" s="18" t="str">
        <f t="shared" si="11"/>
        <v/>
      </c>
      <c r="M36" s="18" t="str">
        <f t="shared" si="11"/>
        <v/>
      </c>
      <c r="N36" s="18" t="str">
        <f t="shared" si="11"/>
        <v/>
      </c>
      <c r="O36" s="18" t="str">
        <f t="shared" si="11"/>
        <v/>
      </c>
      <c r="P36" s="18" t="str">
        <f t="shared" si="11"/>
        <v/>
      </c>
      <c r="Q36" s="18" t="str">
        <f t="shared" si="11"/>
        <v/>
      </c>
      <c r="R36" s="18" t="str">
        <f t="shared" si="11"/>
        <v/>
      </c>
      <c r="S36" s="18" t="str">
        <f t="shared" si="11"/>
        <v/>
      </c>
      <c r="T36" s="18" t="str">
        <f t="shared" si="28"/>
        <v/>
      </c>
      <c r="U36" s="18" t="str">
        <f t="shared" si="29"/>
        <v/>
      </c>
      <c r="V36" s="18" t="str">
        <f t="shared" si="29"/>
        <v/>
      </c>
      <c r="W36" s="18" t="str">
        <f t="shared" si="29"/>
        <v/>
      </c>
      <c r="X36" s="18" t="str">
        <f t="shared" si="29"/>
        <v/>
      </c>
      <c r="Y36" s="18" t="str">
        <f t="shared" si="29"/>
        <v/>
      </c>
      <c r="Z36" s="18" t="str">
        <f t="shared" si="29"/>
        <v/>
      </c>
      <c r="AA36" s="18" t="str">
        <f t="shared" si="29"/>
        <v/>
      </c>
      <c r="AB36" s="18" t="str">
        <f t="shared" si="29"/>
        <v/>
      </c>
      <c r="AC36" s="18" t="str">
        <f t="shared" si="29"/>
        <v/>
      </c>
      <c r="AD36" s="18" t="str">
        <f t="shared" si="29"/>
        <v/>
      </c>
      <c r="AE36" s="18" t="str">
        <f t="shared" si="30"/>
        <v/>
      </c>
      <c r="AF36" s="18" t="str">
        <f t="shared" si="30"/>
        <v/>
      </c>
      <c r="AG36" s="18" t="str">
        <f t="shared" si="30"/>
        <v/>
      </c>
      <c r="AH36" s="18" t="str">
        <f t="shared" si="30"/>
        <v/>
      </c>
      <c r="AI36" s="18" t="str">
        <f t="shared" si="30"/>
        <v/>
      </c>
      <c r="AJ36" s="18" t="str">
        <f t="shared" si="30"/>
        <v/>
      </c>
      <c r="AK36" s="18" t="str">
        <f t="shared" si="30"/>
        <v/>
      </c>
      <c r="AL36" s="18" t="str">
        <f t="shared" si="30"/>
        <v/>
      </c>
      <c r="AM36" s="18" t="str">
        <f t="shared" si="30"/>
        <v/>
      </c>
      <c r="AN36" s="18" t="str">
        <f t="shared" si="30"/>
        <v/>
      </c>
      <c r="AO36" s="18" t="str">
        <f t="shared" si="30"/>
        <v/>
      </c>
    </row>
    <row r="37" spans="1:41" ht="24" customHeight="1" thickBot="1">
      <c r="A37" s="27"/>
      <c r="B37" s="27"/>
      <c r="C37" s="28"/>
      <c r="D37" s="29"/>
      <c r="E37" s="29"/>
      <c r="F37" s="14"/>
      <c r="G37" s="18" t="str">
        <f t="shared" si="11"/>
        <v/>
      </c>
      <c r="H37" s="18" t="str">
        <f t="shared" si="11"/>
        <v/>
      </c>
      <c r="I37" s="18" t="str">
        <f t="shared" si="11"/>
        <v/>
      </c>
      <c r="J37" s="18" t="str">
        <f t="shared" si="11"/>
        <v/>
      </c>
      <c r="K37" s="18" t="str">
        <f t="shared" si="11"/>
        <v/>
      </c>
      <c r="L37" s="18" t="str">
        <f t="shared" si="11"/>
        <v/>
      </c>
      <c r="M37" s="18" t="str">
        <f t="shared" si="11"/>
        <v/>
      </c>
      <c r="N37" s="18" t="str">
        <f t="shared" si="11"/>
        <v/>
      </c>
      <c r="O37" s="18" t="str">
        <f t="shared" si="11"/>
        <v/>
      </c>
      <c r="P37" s="18" t="str">
        <f t="shared" si="11"/>
        <v/>
      </c>
      <c r="Q37" s="18" t="str">
        <f t="shared" si="11"/>
        <v/>
      </c>
      <c r="R37" s="18" t="str">
        <f t="shared" si="11"/>
        <v/>
      </c>
      <c r="S37" s="18" t="str">
        <f t="shared" si="11"/>
        <v/>
      </c>
      <c r="T37" s="18" t="str">
        <f t="shared" si="28"/>
        <v/>
      </c>
      <c r="U37" s="18" t="str">
        <f t="shared" si="29"/>
        <v/>
      </c>
      <c r="V37" s="18" t="str">
        <f t="shared" si="29"/>
        <v/>
      </c>
      <c r="W37" s="18" t="str">
        <f t="shared" si="29"/>
        <v/>
      </c>
      <c r="X37" s="18" t="str">
        <f t="shared" si="29"/>
        <v/>
      </c>
      <c r="Y37" s="18" t="str">
        <f t="shared" si="29"/>
        <v/>
      </c>
      <c r="Z37" s="18" t="str">
        <f t="shared" si="29"/>
        <v/>
      </c>
      <c r="AA37" s="18" t="str">
        <f t="shared" si="29"/>
        <v/>
      </c>
      <c r="AB37" s="18" t="str">
        <f t="shared" si="29"/>
        <v/>
      </c>
      <c r="AC37" s="18" t="str">
        <f t="shared" si="29"/>
        <v/>
      </c>
      <c r="AD37" s="18" t="str">
        <f t="shared" si="29"/>
        <v/>
      </c>
      <c r="AE37" s="18" t="str">
        <f t="shared" si="30"/>
        <v/>
      </c>
      <c r="AF37" s="18" t="str">
        <f t="shared" si="30"/>
        <v/>
      </c>
      <c r="AG37" s="18" t="str">
        <f t="shared" si="30"/>
        <v/>
      </c>
      <c r="AH37" s="18" t="str">
        <f t="shared" si="30"/>
        <v/>
      </c>
      <c r="AI37" s="18" t="str">
        <f t="shared" si="30"/>
        <v/>
      </c>
      <c r="AJ37" s="18" t="str">
        <f t="shared" si="30"/>
        <v/>
      </c>
      <c r="AK37" s="18" t="str">
        <f t="shared" si="30"/>
        <v/>
      </c>
      <c r="AL37" s="18" t="str">
        <f t="shared" si="30"/>
        <v/>
      </c>
      <c r="AM37" s="18" t="str">
        <f t="shared" si="30"/>
        <v/>
      </c>
      <c r="AN37" s="18" t="str">
        <f t="shared" si="30"/>
        <v/>
      </c>
      <c r="AO37" s="18" t="str">
        <f t="shared" si="30"/>
        <v/>
      </c>
    </row>
    <row r="38" spans="1:41" ht="24" customHeight="1" thickBot="1">
      <c r="A38" s="27"/>
      <c r="B38" s="27"/>
      <c r="C38" s="28"/>
      <c r="D38" s="29"/>
      <c r="E38" s="29"/>
      <c r="F38" s="14"/>
      <c r="G38" s="18" t="str">
        <f t="shared" si="11"/>
        <v/>
      </c>
      <c r="H38" s="18" t="str">
        <f t="shared" si="11"/>
        <v/>
      </c>
      <c r="I38" s="18" t="str">
        <f t="shared" si="11"/>
        <v/>
      </c>
      <c r="J38" s="18" t="str">
        <f t="shared" si="11"/>
        <v/>
      </c>
      <c r="K38" s="18" t="str">
        <f t="shared" si="11"/>
        <v/>
      </c>
      <c r="L38" s="18" t="str">
        <f t="shared" si="11"/>
        <v/>
      </c>
      <c r="M38" s="18" t="str">
        <f t="shared" si="11"/>
        <v/>
      </c>
      <c r="N38" s="18" t="str">
        <f t="shared" si="11"/>
        <v/>
      </c>
      <c r="O38" s="18" t="str">
        <f t="shared" si="11"/>
        <v/>
      </c>
      <c r="P38" s="18" t="str">
        <f t="shared" si="11"/>
        <v/>
      </c>
      <c r="Q38" s="18" t="str">
        <f t="shared" si="11"/>
        <v/>
      </c>
      <c r="R38" s="18" t="str">
        <f t="shared" si="11"/>
        <v/>
      </c>
      <c r="S38" s="18" t="str">
        <f t="shared" si="11"/>
        <v/>
      </c>
      <c r="T38" s="18" t="str">
        <f t="shared" si="28"/>
        <v/>
      </c>
      <c r="U38" s="18" t="str">
        <f t="shared" si="29"/>
        <v/>
      </c>
      <c r="V38" s="18" t="str">
        <f t="shared" si="29"/>
        <v/>
      </c>
      <c r="W38" s="18" t="str">
        <f t="shared" si="29"/>
        <v/>
      </c>
      <c r="X38" s="18" t="str">
        <f t="shared" si="29"/>
        <v/>
      </c>
      <c r="Y38" s="18" t="str">
        <f t="shared" si="29"/>
        <v/>
      </c>
      <c r="Z38" s="18" t="str">
        <f t="shared" si="29"/>
        <v/>
      </c>
      <c r="AA38" s="18" t="str">
        <f t="shared" si="29"/>
        <v/>
      </c>
      <c r="AB38" s="18" t="str">
        <f t="shared" si="29"/>
        <v/>
      </c>
      <c r="AC38" s="18" t="str">
        <f t="shared" si="29"/>
        <v/>
      </c>
      <c r="AD38" s="18" t="str">
        <f t="shared" si="29"/>
        <v/>
      </c>
      <c r="AE38" s="18" t="str">
        <f t="shared" si="30"/>
        <v/>
      </c>
      <c r="AF38" s="18" t="str">
        <f t="shared" si="30"/>
        <v/>
      </c>
      <c r="AG38" s="18" t="str">
        <f t="shared" si="30"/>
        <v/>
      </c>
      <c r="AH38" s="18" t="str">
        <f t="shared" si="30"/>
        <v/>
      </c>
      <c r="AI38" s="18" t="str">
        <f t="shared" si="30"/>
        <v/>
      </c>
      <c r="AJ38" s="18" t="str">
        <f t="shared" si="30"/>
        <v/>
      </c>
      <c r="AK38" s="18" t="str">
        <f t="shared" si="30"/>
        <v/>
      </c>
      <c r="AL38" s="18" t="str">
        <f t="shared" si="30"/>
        <v/>
      </c>
      <c r="AM38" s="18" t="str">
        <f t="shared" si="30"/>
        <v/>
      </c>
      <c r="AN38" s="18" t="str">
        <f t="shared" si="30"/>
        <v/>
      </c>
      <c r="AO38" s="18" t="str">
        <f t="shared" si="30"/>
        <v/>
      </c>
    </row>
    <row r="39" spans="1:41" ht="24" customHeight="1" thickBot="1">
      <c r="A39" s="30"/>
      <c r="B39" s="31"/>
      <c r="C39" s="31"/>
      <c r="D39" s="31"/>
      <c r="E39" s="31"/>
      <c r="F39" s="14"/>
      <c r="G39" s="18" t="str">
        <f t="shared" si="11"/>
        <v/>
      </c>
      <c r="H39" s="18" t="str">
        <f t="shared" si="11"/>
        <v/>
      </c>
      <c r="I39" s="18" t="str">
        <f t="shared" si="11"/>
        <v/>
      </c>
      <c r="J39" s="18" t="str">
        <f t="shared" si="11"/>
        <v/>
      </c>
      <c r="K39" s="18" t="str">
        <f t="shared" si="11"/>
        <v/>
      </c>
      <c r="L39" s="18" t="str">
        <f t="shared" si="11"/>
        <v/>
      </c>
      <c r="M39" s="18" t="str">
        <f t="shared" si="11"/>
        <v/>
      </c>
      <c r="N39" s="18" t="str">
        <f t="shared" si="11"/>
        <v/>
      </c>
      <c r="O39" s="18" t="str">
        <f t="shared" si="11"/>
        <v/>
      </c>
      <c r="P39" s="18" t="str">
        <f t="shared" si="11"/>
        <v/>
      </c>
      <c r="Q39" s="18" t="str">
        <f t="shared" si="11"/>
        <v/>
      </c>
      <c r="R39" s="18" t="str">
        <f t="shared" si="11"/>
        <v/>
      </c>
      <c r="S39" s="18" t="str">
        <f t="shared" si="11"/>
        <v/>
      </c>
      <c r="T39" s="18" t="str">
        <f t="shared" si="28"/>
        <v/>
      </c>
      <c r="U39" s="18" t="str">
        <f t="shared" si="29"/>
        <v/>
      </c>
      <c r="V39" s="18" t="str">
        <f t="shared" si="29"/>
        <v/>
      </c>
      <c r="W39" s="18" t="str">
        <f t="shared" si="29"/>
        <v/>
      </c>
      <c r="X39" s="18" t="str">
        <f t="shared" si="29"/>
        <v/>
      </c>
      <c r="Y39" s="18" t="str">
        <f t="shared" si="29"/>
        <v/>
      </c>
      <c r="Z39" s="18" t="str">
        <f t="shared" si="29"/>
        <v/>
      </c>
      <c r="AA39" s="18" t="str">
        <f t="shared" si="29"/>
        <v/>
      </c>
      <c r="AB39" s="18" t="str">
        <f t="shared" si="29"/>
        <v/>
      </c>
      <c r="AC39" s="18" t="str">
        <f t="shared" si="29"/>
        <v/>
      </c>
      <c r="AD39" s="18" t="str">
        <f t="shared" si="29"/>
        <v/>
      </c>
      <c r="AE39" s="18" t="str">
        <f t="shared" si="30"/>
        <v/>
      </c>
      <c r="AF39" s="18" t="str">
        <f t="shared" si="30"/>
        <v/>
      </c>
      <c r="AG39" s="18" t="str">
        <f t="shared" si="30"/>
        <v/>
      </c>
      <c r="AH39" s="18" t="str">
        <f t="shared" si="30"/>
        <v/>
      </c>
      <c r="AI39" s="18" t="str">
        <f t="shared" si="30"/>
        <v/>
      </c>
      <c r="AJ39" s="18" t="str">
        <f t="shared" si="30"/>
        <v/>
      </c>
      <c r="AK39" s="18" t="str">
        <f t="shared" si="30"/>
        <v/>
      </c>
      <c r="AL39" s="18" t="str">
        <f t="shared" si="30"/>
        <v/>
      </c>
      <c r="AM39" s="18" t="str">
        <f t="shared" si="30"/>
        <v/>
      </c>
      <c r="AN39" s="18" t="str">
        <f t="shared" si="30"/>
        <v/>
      </c>
      <c r="AO39" s="18" t="str">
        <f t="shared" si="30"/>
        <v/>
      </c>
    </row>
    <row r="40" spans="1:41" ht="24" customHeight="1" thickBot="1">
      <c r="A40" s="32"/>
      <c r="B40" s="32"/>
      <c r="C40" s="33"/>
      <c r="D40" s="34"/>
      <c r="E40" s="34"/>
      <c r="F40" s="14"/>
      <c r="G40" s="18" t="str">
        <f t="shared" si="11"/>
        <v/>
      </c>
      <c r="H40" s="18" t="str">
        <f t="shared" si="11"/>
        <v/>
      </c>
      <c r="I40" s="18" t="str">
        <f t="shared" si="11"/>
        <v/>
      </c>
      <c r="J40" s="18" t="str">
        <f t="shared" si="11"/>
        <v/>
      </c>
      <c r="K40" s="18" t="str">
        <f t="shared" si="11"/>
        <v/>
      </c>
      <c r="L40" s="18" t="str">
        <f t="shared" si="11"/>
        <v/>
      </c>
      <c r="M40" s="18" t="str">
        <f t="shared" si="11"/>
        <v/>
      </c>
      <c r="N40" s="18" t="str">
        <f t="shared" si="11"/>
        <v/>
      </c>
      <c r="O40" s="18" t="str">
        <f t="shared" si="11"/>
        <v/>
      </c>
      <c r="P40" s="18" t="str">
        <f t="shared" si="11"/>
        <v/>
      </c>
      <c r="Q40" s="18" t="str">
        <f t="shared" si="11"/>
        <v/>
      </c>
      <c r="R40" s="18" t="str">
        <f t="shared" si="11"/>
        <v/>
      </c>
      <c r="S40" s="18" t="str">
        <f t="shared" si="11"/>
        <v/>
      </c>
      <c r="T40" s="18" t="str">
        <f t="shared" si="28"/>
        <v/>
      </c>
      <c r="U40" s="18" t="str">
        <f t="shared" si="29"/>
        <v/>
      </c>
      <c r="V40" s="18" t="str">
        <f t="shared" si="29"/>
        <v/>
      </c>
      <c r="W40" s="18" t="str">
        <f t="shared" si="29"/>
        <v/>
      </c>
      <c r="X40" s="18" t="str">
        <f t="shared" si="29"/>
        <v/>
      </c>
      <c r="Y40" s="18" t="str">
        <f t="shared" si="29"/>
        <v/>
      </c>
      <c r="Z40" s="18" t="str">
        <f t="shared" si="29"/>
        <v/>
      </c>
      <c r="AA40" s="18" t="str">
        <f t="shared" si="29"/>
        <v/>
      </c>
      <c r="AB40" s="18" t="str">
        <f t="shared" si="29"/>
        <v/>
      </c>
      <c r="AC40" s="18" t="str">
        <f t="shared" si="29"/>
        <v/>
      </c>
      <c r="AD40" s="18" t="str">
        <f t="shared" si="29"/>
        <v/>
      </c>
      <c r="AE40" s="18" t="str">
        <f t="shared" si="30"/>
        <v/>
      </c>
      <c r="AF40" s="18" t="str">
        <f t="shared" si="30"/>
        <v/>
      </c>
      <c r="AG40" s="18" t="str">
        <f t="shared" si="30"/>
        <v/>
      </c>
      <c r="AH40" s="18" t="str">
        <f t="shared" si="30"/>
        <v/>
      </c>
      <c r="AI40" s="18" t="str">
        <f t="shared" si="30"/>
        <v/>
      </c>
      <c r="AJ40" s="18" t="str">
        <f t="shared" si="30"/>
        <v/>
      </c>
      <c r="AK40" s="18" t="str">
        <f t="shared" si="30"/>
        <v/>
      </c>
      <c r="AL40" s="18" t="str">
        <f t="shared" si="30"/>
        <v/>
      </c>
      <c r="AM40" s="18" t="str">
        <f t="shared" si="30"/>
        <v/>
      </c>
      <c r="AN40" s="18" t="str">
        <f t="shared" si="30"/>
        <v/>
      </c>
      <c r="AO40" s="18" t="str">
        <f t="shared" si="30"/>
        <v/>
      </c>
    </row>
    <row r="41" spans="1:41" ht="24" customHeight="1" thickBot="1">
      <c r="A41" s="32"/>
      <c r="B41" s="32"/>
      <c r="C41" s="33"/>
      <c r="D41" s="34"/>
      <c r="E41" s="34"/>
      <c r="F41" s="14"/>
      <c r="G41" s="18" t="str">
        <f t="shared" si="11"/>
        <v/>
      </c>
      <c r="H41" s="18" t="str">
        <f t="shared" si="11"/>
        <v/>
      </c>
      <c r="I41" s="18" t="str">
        <f t="shared" si="11"/>
        <v/>
      </c>
      <c r="J41" s="18" t="str">
        <f t="shared" si="11"/>
        <v/>
      </c>
      <c r="K41" s="18" t="str">
        <f t="shared" si="11"/>
        <v/>
      </c>
      <c r="L41" s="18" t="str">
        <f t="shared" si="11"/>
        <v/>
      </c>
      <c r="M41" s="18" t="str">
        <f t="shared" si="11"/>
        <v/>
      </c>
      <c r="N41" s="18" t="str">
        <f t="shared" si="11"/>
        <v/>
      </c>
      <c r="O41" s="18" t="str">
        <f t="shared" si="11"/>
        <v/>
      </c>
      <c r="P41" s="18" t="str">
        <f t="shared" si="11"/>
        <v/>
      </c>
      <c r="Q41" s="18" t="str">
        <f t="shared" si="11"/>
        <v/>
      </c>
      <c r="R41" s="18" t="str">
        <f t="shared" si="11"/>
        <v/>
      </c>
      <c r="S41" s="18" t="str">
        <f t="shared" si="11"/>
        <v/>
      </c>
      <c r="T41" s="18" t="str">
        <f t="shared" si="28"/>
        <v/>
      </c>
      <c r="U41" s="18" t="str">
        <f t="shared" si="29"/>
        <v/>
      </c>
      <c r="V41" s="18" t="str">
        <f t="shared" si="29"/>
        <v/>
      </c>
      <c r="W41" s="18" t="str">
        <f t="shared" si="29"/>
        <v/>
      </c>
      <c r="X41" s="18" t="str">
        <f t="shared" si="29"/>
        <v/>
      </c>
      <c r="Y41" s="18" t="str">
        <f t="shared" si="29"/>
        <v/>
      </c>
      <c r="Z41" s="18" t="str">
        <f t="shared" si="29"/>
        <v/>
      </c>
      <c r="AA41" s="18" t="str">
        <f t="shared" si="29"/>
        <v/>
      </c>
      <c r="AB41" s="18" t="str">
        <f t="shared" si="29"/>
        <v/>
      </c>
      <c r="AC41" s="18" t="str">
        <f t="shared" si="29"/>
        <v/>
      </c>
      <c r="AD41" s="18" t="str">
        <f t="shared" si="29"/>
        <v/>
      </c>
      <c r="AE41" s="18" t="str">
        <f t="shared" si="30"/>
        <v/>
      </c>
      <c r="AF41" s="18" t="str">
        <f t="shared" si="30"/>
        <v/>
      </c>
      <c r="AG41" s="18" t="str">
        <f t="shared" si="30"/>
        <v/>
      </c>
      <c r="AH41" s="18" t="str">
        <f t="shared" si="30"/>
        <v/>
      </c>
      <c r="AI41" s="18" t="str">
        <f t="shared" si="30"/>
        <v/>
      </c>
      <c r="AJ41" s="18" t="str">
        <f t="shared" si="30"/>
        <v/>
      </c>
      <c r="AK41" s="18" t="str">
        <f t="shared" si="30"/>
        <v/>
      </c>
      <c r="AL41" s="18" t="str">
        <f t="shared" si="30"/>
        <v/>
      </c>
      <c r="AM41" s="18" t="str">
        <f t="shared" si="30"/>
        <v/>
      </c>
      <c r="AN41" s="18" t="str">
        <f t="shared" si="30"/>
        <v/>
      </c>
      <c r="AO41" s="18" t="str">
        <f t="shared" si="30"/>
        <v/>
      </c>
    </row>
    <row r="42" spans="1:41" ht="24" customHeight="1" thickBot="1">
      <c r="A42" s="32"/>
      <c r="B42" s="32"/>
      <c r="C42" s="33"/>
      <c r="D42" s="34"/>
      <c r="E42" s="34"/>
      <c r="F42" s="14"/>
      <c r="G42" s="18" t="str">
        <f t="shared" si="11"/>
        <v/>
      </c>
      <c r="H42" s="18" t="str">
        <f t="shared" si="11"/>
        <v/>
      </c>
      <c r="I42" s="18" t="str">
        <f t="shared" si="11"/>
        <v/>
      </c>
      <c r="J42" s="18" t="str">
        <f t="shared" si="11"/>
        <v/>
      </c>
      <c r="K42" s="18" t="str">
        <f t="shared" si="11"/>
        <v/>
      </c>
      <c r="L42" s="18" t="str">
        <f t="shared" si="11"/>
        <v/>
      </c>
      <c r="M42" s="18" t="str">
        <f t="shared" si="11"/>
        <v/>
      </c>
      <c r="N42" s="18" t="str">
        <f t="shared" si="11"/>
        <v/>
      </c>
      <c r="O42" s="18" t="str">
        <f t="shared" si="11"/>
        <v/>
      </c>
      <c r="P42" s="18" t="str">
        <f t="shared" si="11"/>
        <v/>
      </c>
      <c r="Q42" s="18" t="str">
        <f t="shared" si="11"/>
        <v/>
      </c>
      <c r="R42" s="18" t="str">
        <f t="shared" si="11"/>
        <v/>
      </c>
      <c r="S42" s="18" t="str">
        <f t="shared" si="11"/>
        <v/>
      </c>
      <c r="T42" s="18" t="str">
        <f t="shared" si="28"/>
        <v/>
      </c>
      <c r="U42" s="18" t="str">
        <f t="shared" si="29"/>
        <v/>
      </c>
      <c r="V42" s="18" t="str">
        <f t="shared" si="29"/>
        <v/>
      </c>
      <c r="W42" s="18" t="str">
        <f t="shared" si="29"/>
        <v/>
      </c>
      <c r="X42" s="18" t="str">
        <f t="shared" si="29"/>
        <v/>
      </c>
      <c r="Y42" s="18" t="str">
        <f t="shared" si="29"/>
        <v/>
      </c>
      <c r="Z42" s="18" t="str">
        <f t="shared" si="29"/>
        <v/>
      </c>
      <c r="AA42" s="18" t="str">
        <f t="shared" si="29"/>
        <v/>
      </c>
      <c r="AB42" s="18" t="str">
        <f t="shared" si="29"/>
        <v/>
      </c>
      <c r="AC42" s="18" t="str">
        <f t="shared" si="29"/>
        <v/>
      </c>
      <c r="AD42" s="18" t="str">
        <f t="shared" si="29"/>
        <v/>
      </c>
      <c r="AE42" s="18" t="str">
        <f t="shared" si="30"/>
        <v/>
      </c>
      <c r="AF42" s="18" t="str">
        <f t="shared" si="30"/>
        <v/>
      </c>
      <c r="AG42" s="18" t="str">
        <f t="shared" si="30"/>
        <v/>
      </c>
      <c r="AH42" s="18" t="str">
        <f t="shared" si="30"/>
        <v/>
      </c>
      <c r="AI42" s="18" t="str">
        <f t="shared" si="30"/>
        <v/>
      </c>
      <c r="AJ42" s="18" t="str">
        <f t="shared" si="30"/>
        <v/>
      </c>
      <c r="AK42" s="18" t="str">
        <f t="shared" si="30"/>
        <v/>
      </c>
      <c r="AL42" s="18" t="str">
        <f t="shared" si="30"/>
        <v/>
      </c>
      <c r="AM42" s="18" t="str">
        <f t="shared" si="30"/>
        <v/>
      </c>
      <c r="AN42" s="18" t="str">
        <f t="shared" si="30"/>
        <v/>
      </c>
      <c r="AO42" s="18" t="str">
        <f t="shared" si="30"/>
        <v/>
      </c>
    </row>
    <row r="43" spans="1:41" ht="24" customHeight="1" thickBot="1">
      <c r="A43" s="32"/>
      <c r="B43" s="32"/>
      <c r="C43" s="33"/>
      <c r="D43" s="34"/>
      <c r="E43" s="34"/>
      <c r="F43" s="14"/>
      <c r="G43" s="18" t="str">
        <f t="shared" si="11"/>
        <v/>
      </c>
      <c r="H43" s="18" t="str">
        <f t="shared" si="11"/>
        <v/>
      </c>
      <c r="I43" s="18" t="str">
        <f t="shared" si="11"/>
        <v/>
      </c>
      <c r="J43" s="18" t="str">
        <f t="shared" si="11"/>
        <v/>
      </c>
      <c r="K43" s="18" t="str">
        <f t="shared" si="11"/>
        <v/>
      </c>
      <c r="L43" s="18" t="str">
        <f t="shared" si="11"/>
        <v/>
      </c>
      <c r="M43" s="18" t="str">
        <f t="shared" si="11"/>
        <v/>
      </c>
      <c r="N43" s="18" t="str">
        <f t="shared" si="11"/>
        <v/>
      </c>
      <c r="O43" s="18" t="str">
        <f t="shared" si="11"/>
        <v/>
      </c>
      <c r="P43" s="18" t="str">
        <f t="shared" si="11"/>
        <v/>
      </c>
      <c r="Q43" s="18" t="str">
        <f t="shared" si="11"/>
        <v/>
      </c>
      <c r="R43" s="18" t="str">
        <f t="shared" si="11"/>
        <v/>
      </c>
      <c r="S43" s="18" t="str">
        <f t="shared" si="11"/>
        <v/>
      </c>
      <c r="T43" s="18" t="str">
        <f t="shared" si="28"/>
        <v/>
      </c>
      <c r="U43" s="18" t="str">
        <f t="shared" si="29"/>
        <v/>
      </c>
      <c r="V43" s="18" t="str">
        <f t="shared" si="29"/>
        <v/>
      </c>
      <c r="W43" s="18" t="str">
        <f t="shared" si="29"/>
        <v/>
      </c>
      <c r="X43" s="18" t="str">
        <f t="shared" si="29"/>
        <v/>
      </c>
      <c r="Y43" s="18" t="str">
        <f t="shared" si="29"/>
        <v/>
      </c>
      <c r="Z43" s="18" t="str">
        <f t="shared" si="29"/>
        <v/>
      </c>
      <c r="AA43" s="18" t="str">
        <f t="shared" si="29"/>
        <v/>
      </c>
      <c r="AB43" s="18" t="str">
        <f t="shared" si="29"/>
        <v/>
      </c>
      <c r="AC43" s="18" t="str">
        <f t="shared" si="29"/>
        <v/>
      </c>
      <c r="AD43" s="18" t="str">
        <f t="shared" si="29"/>
        <v/>
      </c>
      <c r="AE43" s="18" t="str">
        <f t="shared" si="30"/>
        <v/>
      </c>
      <c r="AF43" s="18" t="str">
        <f t="shared" si="30"/>
        <v/>
      </c>
      <c r="AG43" s="18" t="str">
        <f t="shared" si="30"/>
        <v/>
      </c>
      <c r="AH43" s="18" t="str">
        <f t="shared" si="30"/>
        <v/>
      </c>
      <c r="AI43" s="18" t="str">
        <f t="shared" si="30"/>
        <v/>
      </c>
      <c r="AJ43" s="18" t="str">
        <f t="shared" si="30"/>
        <v/>
      </c>
      <c r="AK43" s="18" t="str">
        <f t="shared" si="30"/>
        <v/>
      </c>
      <c r="AL43" s="18" t="str">
        <f t="shared" si="30"/>
        <v/>
      </c>
      <c r="AM43" s="18" t="str">
        <f t="shared" si="30"/>
        <v/>
      </c>
      <c r="AN43" s="18" t="str">
        <f t="shared" si="30"/>
        <v/>
      </c>
      <c r="AO43" s="18" t="str">
        <f t="shared" si="30"/>
        <v/>
      </c>
    </row>
    <row r="44" spans="1:41" ht="24" customHeight="1" thickBot="1">
      <c r="A44" s="32"/>
      <c r="B44" s="32"/>
      <c r="C44" s="33"/>
      <c r="D44" s="34"/>
      <c r="E44" s="34"/>
      <c r="F44" s="14"/>
      <c r="G44" s="18" t="str">
        <f t="shared" si="11"/>
        <v/>
      </c>
      <c r="H44" s="18" t="str">
        <f t="shared" si="11"/>
        <v/>
      </c>
      <c r="I44" s="18" t="str">
        <f t="shared" si="11"/>
        <v/>
      </c>
      <c r="J44" s="18" t="str">
        <f t="shared" si="11"/>
        <v/>
      </c>
      <c r="K44" s="18" t="str">
        <f t="shared" si="11"/>
        <v/>
      </c>
      <c r="L44" s="18" t="str">
        <f t="shared" si="11"/>
        <v/>
      </c>
      <c r="M44" s="18" t="str">
        <f t="shared" si="11"/>
        <v/>
      </c>
      <c r="N44" s="18" t="str">
        <f t="shared" si="11"/>
        <v/>
      </c>
      <c r="O44" s="18" t="str">
        <f t="shared" si="11"/>
        <v/>
      </c>
      <c r="P44" s="18" t="str">
        <f t="shared" ref="P44:S44" si="31">IF(AND($D44&lt;=P$4+6,$E44&gt;=P$4),1,"")</f>
        <v/>
      </c>
      <c r="Q44" s="18" t="str">
        <f t="shared" si="31"/>
        <v/>
      </c>
      <c r="R44" s="18" t="str">
        <f t="shared" si="31"/>
        <v/>
      </c>
      <c r="S44" s="18" t="str">
        <f t="shared" si="31"/>
        <v/>
      </c>
      <c r="T44" s="18" t="str">
        <f t="shared" si="28"/>
        <v/>
      </c>
      <c r="U44" s="18" t="str">
        <f t="shared" si="29"/>
        <v/>
      </c>
      <c r="V44" s="18" t="str">
        <f t="shared" si="29"/>
        <v/>
      </c>
      <c r="W44" s="18" t="str">
        <f t="shared" si="29"/>
        <v/>
      </c>
      <c r="X44" s="18" t="str">
        <f t="shared" si="29"/>
        <v/>
      </c>
      <c r="Y44" s="18" t="str">
        <f t="shared" si="29"/>
        <v/>
      </c>
      <c r="Z44" s="18" t="str">
        <f t="shared" si="29"/>
        <v/>
      </c>
      <c r="AA44" s="18" t="str">
        <f t="shared" si="29"/>
        <v/>
      </c>
      <c r="AB44" s="18" t="str">
        <f t="shared" si="29"/>
        <v/>
      </c>
      <c r="AC44" s="18" t="str">
        <f t="shared" si="29"/>
        <v/>
      </c>
      <c r="AD44" s="18" t="str">
        <f t="shared" si="29"/>
        <v/>
      </c>
      <c r="AE44" s="18" t="str">
        <f t="shared" si="30"/>
        <v/>
      </c>
      <c r="AF44" s="18" t="str">
        <f t="shared" si="30"/>
        <v/>
      </c>
      <c r="AG44" s="18" t="str">
        <f t="shared" si="30"/>
        <v/>
      </c>
      <c r="AH44" s="18" t="str">
        <f t="shared" si="30"/>
        <v/>
      </c>
      <c r="AI44" s="18" t="str">
        <f t="shared" si="30"/>
        <v/>
      </c>
      <c r="AJ44" s="18" t="str">
        <f t="shared" si="30"/>
        <v/>
      </c>
      <c r="AK44" s="18" t="str">
        <f t="shared" si="30"/>
        <v/>
      </c>
      <c r="AL44" s="18" t="str">
        <f t="shared" si="30"/>
        <v/>
      </c>
      <c r="AM44" s="18" t="str">
        <f t="shared" si="30"/>
        <v/>
      </c>
      <c r="AN44" s="18" t="str">
        <f t="shared" si="30"/>
        <v/>
      </c>
      <c r="AO44" s="18" t="str">
        <f t="shared" si="30"/>
        <v/>
      </c>
    </row>
  </sheetData>
  <phoneticPr fontId="9" type="noConversion"/>
  <conditionalFormatting sqref="C9:C24">
    <cfRule type="dataBar" priority="1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{7145EEC8-0359-44EE-B20F-69A18A88CAEE}</x14:id>
        </ext>
      </extLst>
    </cfRule>
  </conditionalFormatting>
  <conditionalFormatting sqref="C26:C32"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{2A687EF5-EC29-4E1C-8A34-4DC8642A0CE3}</x14:id>
        </ext>
      </extLst>
    </cfRule>
  </conditionalFormatting>
  <conditionalFormatting sqref="C34:C38"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{A27A93E5-9694-4377-8554-CFFB194BFD7A}</x14:id>
        </ext>
      </extLst>
    </cfRule>
  </conditionalFormatting>
  <conditionalFormatting sqref="C40:C44">
    <cfRule type="dataBar" priority="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{B08703F5-3274-4002-BB15-3A819B811E1E}</x14:id>
        </ext>
      </extLst>
    </cfRule>
  </conditionalFormatting>
  <conditionalFormatting sqref="G4:AO44">
    <cfRule type="expression" dxfId="5" priority="8">
      <formula>AND(ISNUMBER(G$4), TODAY()&gt;=G$4, TODAY()&lt;=G$4+6)</formula>
    </cfRule>
  </conditionalFormatting>
  <conditionalFormatting sqref="G5:AO44">
    <cfRule type="expression" dxfId="4" priority="13">
      <formula>G$5=TODAY()</formula>
    </cfRule>
  </conditionalFormatting>
  <conditionalFormatting sqref="G7:AO44">
    <cfRule type="expression" dxfId="3" priority="11">
      <formula>AND(task_start&lt;=G$5,ROUNDDOWN((task_end-task_start+1)*task_progress,0)+task_start-1&gt;=G$5)</formula>
    </cfRule>
    <cfRule type="expression" dxfId="2" priority="12">
      <formula>AND(task_end&gt;=G$5,task_start&lt;G$5)</formula>
    </cfRule>
  </conditionalFormatting>
  <conditionalFormatting sqref="G9:AO44">
    <cfRule type="expression" dxfId="1" priority="9">
      <formula>AND(G9=1, COUNTIF($G9:G9,1) &lt;= ROUND(MIN(N($C9),1) * COUNTIF($G9:$AZ9,1), 0))</formula>
    </cfRule>
    <cfRule type="expression" dxfId="0" priority="10">
      <formula>G9=1</formula>
    </cfRule>
  </conditionalFormatting>
  <pageMargins left="0.25" right="0.25" top="0.75" bottom="0.75" header="0.3" footer="0.3"/>
  <pageSetup paperSize="9" scale="61" fitToHeight="0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45EEC8-0359-44EE-B20F-69A18A88CAE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C9:C24</xm:sqref>
        </x14:conditionalFormatting>
        <x14:conditionalFormatting xmlns:xm="http://schemas.microsoft.com/office/excel/2006/main">
          <x14:cfRule type="dataBar" id="{2A687EF5-EC29-4E1C-8A34-4DC8642A0CE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C26:C32</xm:sqref>
        </x14:conditionalFormatting>
        <x14:conditionalFormatting xmlns:xm="http://schemas.microsoft.com/office/excel/2006/main">
          <x14:cfRule type="dataBar" id="{A27A93E5-9694-4377-8554-CFFB194BFD7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C34:C38</xm:sqref>
        </x14:conditionalFormatting>
        <x14:conditionalFormatting xmlns:xm="http://schemas.microsoft.com/office/excel/2006/main">
          <x14:cfRule type="dataBar" id="{B08703F5-3274-4002-BB15-3A819B811E1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C40:C44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GANTT KW</vt:lpstr>
      <vt:lpstr>'GANTT KW'!Anzeigewoche</vt:lpstr>
      <vt:lpstr>'GANTT KW'!Startdatum</vt:lpstr>
      <vt:lpstr>'GANTT KW'!task_end</vt:lpstr>
      <vt:lpstr>'GANTT KW'!task_progress</vt:lpstr>
      <vt:lpstr>'GANTT KW'!task_start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Neoral</dc:creator>
  <cp:lastModifiedBy>Viktor Strischow</cp:lastModifiedBy>
  <dcterms:created xsi:type="dcterms:W3CDTF">2025-08-01T12:51:31Z</dcterms:created>
  <dcterms:modified xsi:type="dcterms:W3CDTF">2025-11-02T11:01:29Z</dcterms:modified>
</cp:coreProperties>
</file>